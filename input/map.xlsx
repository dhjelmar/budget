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persons/person.xml" ContentType="application/vnd.ms-excel.person+xml"/>
  <Override PartName="/xl/worksheets/sheet1.xml" ContentType="application/vnd.openxmlformats-officedocument.spreadsheetml.worksheet+xml"/>
  <Override PartName="/xl/threadedComments/threadedComment1.xml" ContentType="application/vnd.ms-excel.threadedcomment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3"/>
  </sheets>
  <definedNames>
    <definedName name="_xlnm._FilterDatabase" localSheetId="0" hidden="1">Sheet1!$A$1:$N$244</definedName>
    <definedName name="Print_Titles" localSheetId="0">Sheet1!$1:$1</definedName>
    <definedName name="_xlcn.WorksheetConnection_budget_2024.xlsxTable2" hidden="1">'budget 11-01-23'!$A$1:$M$198</definedName>
    <definedName name="_xlcn.WorksheetConnection_budget_2024.xlsxTable3" hidden="1">Table1</definedName>
    <definedName name="_xlnm._FilterDatabase" localSheetId="0" hidden="1">Sheet1!$A$1:$N$244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tc={7252F538-6D6E-97D8-146C-E9E4379178FC}</author>
  </authors>
  <commentList>
    <comment ref="D18" authorId="0" xr:uid="{7252F538-6D6E-97D8-146C-E9E4379178FC}">
      <text>
        <r>
          <rPr>
            <b/>
            <sz val="9"/>
            <rFont val="Tahoma"/>
          </rPr>
          <t xml:space="preserve">David Hjelmar:</t>
        </r>
        <r>
          <rPr>
            <sz val="9"/>
            <rFont val="Tahoma"/>
          </rPr>
          <t xml:space="preserve">
only used from Covenant Fund in 2022. not used at all in 2023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"/>
        </x15:connection>
      </ext>
    </extLst>
  </connection>
</connections>
</file>

<file path=xl/sharedStrings.xml><?xml version="1.0" encoding="utf-8"?>
<sst xmlns="http://schemas.openxmlformats.org/spreadsheetml/2006/main" count="350" uniqueCount="350">
  <si>
    <t>InOrOut</t>
  </si>
  <si>
    <t>L1</t>
  </si>
  <si>
    <t>L2</t>
  </si>
  <si>
    <t>Account</t>
  </si>
  <si>
    <t>SourceOfFunds</t>
  </si>
  <si>
    <t>Purpose</t>
  </si>
  <si>
    <t>Committee_Detail</t>
  </si>
  <si>
    <t xml:space="preserve">Split Funding</t>
  </si>
  <si>
    <t xml:space="preserve">Split Funding Detail</t>
  </si>
  <si>
    <t>Dave</t>
  </si>
  <si>
    <t>GreenSheet</t>
  </si>
  <si>
    <t>GreenSheetDetails</t>
  </si>
  <si>
    <t>AnnualReport</t>
  </si>
  <si>
    <t>In</t>
  </si>
  <si>
    <t>Pledge</t>
  </si>
  <si>
    <t xml:space="preserve">4010 Current Year Pledges</t>
  </si>
  <si>
    <t>Unrestricted</t>
  </si>
  <si>
    <t>Operations</t>
  </si>
  <si>
    <t xml:space="preserve">Contributions - pledge</t>
  </si>
  <si>
    <t xml:space="preserve">01 Contributions - pledges</t>
  </si>
  <si>
    <t xml:space="preserve">02 Contributions</t>
  </si>
  <si>
    <t>Contributions</t>
  </si>
  <si>
    <t xml:space="preserve">4021 Charitable Distributions</t>
  </si>
  <si>
    <t>.</t>
  </si>
  <si>
    <t xml:space="preserve">4000 Classis Assessment</t>
  </si>
  <si>
    <t xml:space="preserve">Designated Funds</t>
  </si>
  <si>
    <t xml:space="preserve">02 Contributions - other</t>
  </si>
  <si>
    <t xml:space="preserve">01 Classis Assessments</t>
  </si>
  <si>
    <t xml:space="preserve">4001 Classis Assessments</t>
  </si>
  <si>
    <t xml:space="preserve">4011 Prepaid Donations</t>
  </si>
  <si>
    <t>Other</t>
  </si>
  <si>
    <t xml:space="preserve">4012 Non Pledge Contributions</t>
  </si>
  <si>
    <t xml:space="preserve">4013 Vespers Offering</t>
  </si>
  <si>
    <t xml:space="preserve">4014 Easter Offering</t>
  </si>
  <si>
    <t>Mission</t>
  </si>
  <si>
    <t xml:space="preserve">4015 Christmas Offering</t>
  </si>
  <si>
    <t xml:space="preserve">4016 Thanksgiving Offering</t>
  </si>
  <si>
    <t xml:space="preserve">4017 Special Offerings</t>
  </si>
  <si>
    <t xml:space="preserve">4018 Little Free Pantry donation</t>
  </si>
  <si>
    <t xml:space="preserve">4022 Wednesday Lunch</t>
  </si>
  <si>
    <t xml:space="preserve">4023 Online Giving</t>
  </si>
  <si>
    <t xml:space="preserve">4024 Senior High Mission Trip income</t>
  </si>
  <si>
    <t xml:space="preserve">4025 Concert Series</t>
  </si>
  <si>
    <t xml:space="preserve">4026 Bequests or Audio/Visual Technology?</t>
  </si>
  <si>
    <t xml:space="preserve">4031 Special Offerings (designated)</t>
  </si>
  <si>
    <t xml:space="preserve">4032 Designated Restricted Contributions</t>
  </si>
  <si>
    <t>Designated</t>
  </si>
  <si>
    <t xml:space="preserve">2215 Checking Account</t>
  </si>
  <si>
    <t>Checking</t>
  </si>
  <si>
    <t xml:space="preserve">03 Endowments</t>
  </si>
  <si>
    <t xml:space="preserve">03 Investment Income</t>
  </si>
  <si>
    <t>Investment</t>
  </si>
  <si>
    <t xml:space="preserve">4041 Endowment Income</t>
  </si>
  <si>
    <t>Endowment</t>
  </si>
  <si>
    <t xml:space="preserve">4043 Schermerhorn Income</t>
  </si>
  <si>
    <t xml:space="preserve">Schermerhorn and Birch Funds</t>
  </si>
  <si>
    <t xml:space="preserve">4044 Birch Income</t>
  </si>
  <si>
    <t xml:space="preserve">4049 Tercentenary Income</t>
  </si>
  <si>
    <t xml:space="preserve">Tercentenary Fund</t>
  </si>
  <si>
    <t xml:space="preserve">Education, Music, &amp; Arts</t>
  </si>
  <si>
    <t xml:space="preserve">03 Tercentenary Fund</t>
  </si>
  <si>
    <t xml:space="preserve">4045 UP Mission Fund Income</t>
  </si>
  <si>
    <t xml:space="preserve">UP Mission Fund</t>
  </si>
  <si>
    <t xml:space="preserve">03 UP Mission Fund</t>
  </si>
  <si>
    <t xml:space="preserve">4046 UP Mission Fund Income</t>
  </si>
  <si>
    <t xml:space="preserve">4061 McDonald (Covenant)</t>
  </si>
  <si>
    <t xml:space="preserve">Covenant Fund but Unrestricted Use</t>
  </si>
  <si>
    <t xml:space="preserve">Covenant Fund</t>
  </si>
  <si>
    <t xml:space="preserve">04 Covenant Fund</t>
  </si>
  <si>
    <t xml:space="preserve">04 Covenant Income</t>
  </si>
  <si>
    <t xml:space="preserve">4062 Covenant Fund Income</t>
  </si>
  <si>
    <t xml:space="preserve">4063 Covenant Income for M&amp;B</t>
  </si>
  <si>
    <t xml:space="preserve">0000 Checking Account</t>
  </si>
  <si>
    <t xml:space="preserve">05 Other Income</t>
  </si>
  <si>
    <t xml:space="preserve">Checking Account</t>
  </si>
  <si>
    <t xml:space="preserve">4052 Facility Use Income</t>
  </si>
  <si>
    <t xml:space="preserve">Other income</t>
  </si>
  <si>
    <t xml:space="preserve">4053 Misc Income</t>
  </si>
  <si>
    <t xml:space="preserve">4054 Rental Income</t>
  </si>
  <si>
    <t xml:space="preserve">4055 Holiday/Memorial Flowers income</t>
  </si>
  <si>
    <t xml:space="preserve">4056 Chancel Guild Income/Cook Trust</t>
  </si>
  <si>
    <t xml:space="preserve">Cook Trust</t>
  </si>
  <si>
    <t xml:space="preserve">4057 Scholarship from Education Fund income</t>
  </si>
  <si>
    <t xml:space="preserve">4058 Lucas Grove compensation</t>
  </si>
  <si>
    <t xml:space="preserve">1234 Designated Fund Income</t>
  </si>
  <si>
    <t xml:space="preserve">06 Designated</t>
  </si>
  <si>
    <t>Out</t>
  </si>
  <si>
    <t xml:space="preserve">5011 Continuing Ed Sr. Pastor</t>
  </si>
  <si>
    <t xml:space="preserve">Personnel - Education</t>
  </si>
  <si>
    <t xml:space="preserve">07 Worship &amp; Arts</t>
  </si>
  <si>
    <t xml:space="preserve">07c Worship &amp; Arts Senior Pastor</t>
  </si>
  <si>
    <t>Personnel</t>
  </si>
  <si>
    <t xml:space="preserve">5044 Continuing Education Music</t>
  </si>
  <si>
    <t xml:space="preserve">07b Worship &amp; Arts Music Staff</t>
  </si>
  <si>
    <t xml:space="preserve">6004 Audio Visual Contract Services</t>
  </si>
  <si>
    <t xml:space="preserve">Worship &amp; Arts</t>
  </si>
  <si>
    <t>Worship</t>
  </si>
  <si>
    <t xml:space="preserve">07a Worship &amp; Arts</t>
  </si>
  <si>
    <t xml:space="preserve">6005 Communion</t>
  </si>
  <si>
    <t xml:space="preserve">6015 Honorarim (Pulpit Organ)</t>
  </si>
  <si>
    <t xml:space="preserve">6016 Organ Repair</t>
  </si>
  <si>
    <t xml:space="preserve">Worship - Music &amp; Art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</si>
  <si>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</si>
  <si>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</si>
  <si>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</si>
  <si>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</si>
  <si>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</si>
  <si>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</si>
  <si>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</si>
  <si>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</si>
  <si>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</si>
  <si>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</si>
  <si>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</si>
  <si>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</si>
  <si>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Education, Music, &amp; Arts - split funded</t>
  </si>
  <si>
    <t xml:space="preserve">6076 Holiday/Memorial Flowers expenses</t>
  </si>
  <si>
    <t xml:space="preserve">6077 Audio sound expenses</t>
  </si>
  <si>
    <t xml:space="preserve">6078 Audio Sound /Video Streaming expenses</t>
  </si>
  <si>
    <t xml:space="preserve">6079 Folk Band or Miscast Cabaret?</t>
  </si>
  <si>
    <t xml:space="preserve">6080 Art Series</t>
  </si>
  <si>
    <t xml:space="preserve">6081 Art Display Expense</t>
  </si>
  <si>
    <t xml:space="preserve">6082 Candle,Oil,Wreth Exp.</t>
  </si>
  <si>
    <t xml:space="preserve">6083 Vesting for Sanctuary</t>
  </si>
  <si>
    <t xml:space="preserve">6084 Chancel Guild expenses/Cook Trust</t>
  </si>
  <si>
    <t xml:space="preserve">6105 Safe Gathering Check Up exp. or Audio/Visual Church School?</t>
  </si>
  <si>
    <t xml:space="preserve">Youth Ed</t>
  </si>
  <si>
    <t xml:space="preserve">08 Youth Ed</t>
  </si>
  <si>
    <t xml:space="preserve">08a Youth Ed</t>
  </si>
  <si>
    <t>Programs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</si>
  <si>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</si>
  <si>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</si>
  <si>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</si>
  <si>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</si>
  <si>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6121 Camp Fowler scholarships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</si>
  <si>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</si>
  <si>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</si>
  <si>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</si>
  <si>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</si>
  <si>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Split Funding (Covenant Fund beyond designated contributions)</t>
  </si>
  <si>
    <t xml:space="preserve">Mission - split funded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</si>
  <si>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</si>
  <si>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</si>
  <si>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</si>
  <si>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</si>
  <si>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</si>
  <si>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6303 Undesignated and Emergency</t>
  </si>
  <si>
    <t>M&amp;B</t>
  </si>
  <si>
    <t xml:space="preserve">Mission - Covenant Fund</t>
  </si>
  <si>
    <t xml:space="preserve">09 M&amp;B</t>
  </si>
  <si>
    <t xml:space="preserve">6305 Education (M&amp;B)</t>
  </si>
  <si>
    <t xml:space="preserve">6306 Little Pantry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</si>
  <si>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</si>
  <si>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</si>
  <si>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</si>
  <si>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</si>
  <si>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</si>
  <si>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</si>
  <si>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</si>
  <si>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Mission - Contributions</t>
  </si>
  <si>
    <t xml:space="preserve">6326 UP Mission</t>
  </si>
  <si>
    <t xml:space="preserve">UP Mission</t>
  </si>
  <si>
    <t xml:space="preserve">Mission - UP Mission Fund</t>
  </si>
  <si>
    <t xml:space="preserve">6340 Special Offering</t>
  </si>
  <si>
    <t xml:space="preserve">6350 Other Covenant Programs</t>
  </si>
  <si>
    <t xml:space="preserve">10 Covenant Fund</t>
  </si>
  <si>
    <t xml:space="preserve">10a Covenant Fund Lunn</t>
  </si>
  <si>
    <t xml:space="preserve">6351 Approved Covenant Programs</t>
  </si>
  <si>
    <t xml:space="preserve">6356 Lunn Office</t>
  </si>
  <si>
    <t xml:space="preserve">6360 Small Grants</t>
  </si>
  <si>
    <t xml:space="preserve">6366 Wednesday Lunch</t>
  </si>
  <si>
    <t xml:space="preserve">10b Mission Coordinators</t>
  </si>
  <si>
    <t xml:space="preserve">6367 Mission &amp; Volunteer Expense</t>
  </si>
  <si>
    <t xml:space="preserve">6368 Kitchen supplies</t>
  </si>
  <si>
    <t xml:space="preserve">6369 To Go Containers</t>
  </si>
  <si>
    <t xml:space="preserve">6404 Period./Books/Newsp.for ass. pastor</t>
  </si>
  <si>
    <t xml:space="preserve">Adult Ed</t>
  </si>
  <si>
    <t xml:space="preserve">11 Adult Ed</t>
  </si>
  <si>
    <t xml:space="preserve">6405 Library Books</t>
  </si>
  <si>
    <t xml:space="preserve">6409 Scholarship from Education Fund expence </t>
  </si>
  <si>
    <t xml:space="preserve">6410 Devotional Literature/Small groups Literature</t>
  </si>
  <si>
    <t xml:space="preserve">6415 Faith Forming Weekend</t>
  </si>
  <si>
    <t xml:space="preserve">6420 Guest Spearkers and Adult Forum</t>
  </si>
  <si>
    <t xml:space="preserve">6430 Lenten Programming</t>
  </si>
  <si>
    <t xml:space="preserve">6435 Library Periodicals &amp; Fees</t>
  </si>
  <si>
    <t xml:space="preserve">6440 Resources (Adult Ed.)</t>
  </si>
  <si>
    <t xml:space="preserve">6445 Adult Retreats and Workshops</t>
  </si>
  <si>
    <t xml:space="preserve">6450 Small Groups</t>
  </si>
  <si>
    <t xml:space="preserve">6460 Library Supplies &amp; Equipment</t>
  </si>
  <si>
    <t xml:space="preserve">6505 Honorariums</t>
  </si>
  <si>
    <t xml:space="preserve">Care &amp; Support</t>
  </si>
  <si>
    <t xml:space="preserve">12 Care &amp; Support</t>
  </si>
  <si>
    <t xml:space="preserve">12a Care &amp; Support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</si>
  <si>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</si>
  <si>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</si>
  <si>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</si>
  <si>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</si>
  <si>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6605 Churchwide Social Events</t>
  </si>
  <si>
    <t>Membership</t>
  </si>
  <si>
    <t xml:space="preserve">13 Membership</t>
  </si>
  <si>
    <t xml:space="preserve">6610 Coffee Hour</t>
  </si>
  <si>
    <t xml:space="preserve">6620 Supplies Hospitality</t>
  </si>
  <si>
    <t xml:space="preserve">6705 Membership Committee</t>
  </si>
  <si>
    <t xml:space="preserve">6706 Art Night (account not used; possibly never used?)</t>
  </si>
  <si>
    <t xml:space="preserve">6707 temp number for Classis meeting expense</t>
  </si>
  <si>
    <t xml:space="preserve">6806 Composting</t>
  </si>
  <si>
    <t xml:space="preserve">Creation Care</t>
  </si>
  <si>
    <t xml:space="preserve">14 Creation Care</t>
  </si>
  <si>
    <t xml:space="preserve">6807 Supplies</t>
  </si>
  <si>
    <t xml:space="preserve">6808 Recycled Paper</t>
  </si>
  <si>
    <t xml:space="preserve">6809 Media</t>
  </si>
  <si>
    <t xml:space="preserve">7001 Custodian Fee/Other serv. Fee</t>
  </si>
  <si>
    <t>Property</t>
  </si>
  <si>
    <t xml:space="preserve">15 Property</t>
  </si>
  <si>
    <t xml:space="preserve">15a Property</t>
  </si>
  <si>
    <t xml:space="preserve">7002 Fasility use expense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</si>
  <si>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</si>
  <si>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</si>
  <si>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</si>
  <si>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</si>
  <si>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</si>
  <si>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</si>
  <si>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</si>
  <si>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</si>
  <si>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</si>
  <si>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</si>
  <si>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</si>
  <si>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</si>
  <si>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</si>
  <si>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</si>
  <si>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</si>
  <si>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</si>
  <si>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</si>
  <si>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</si>
  <si>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</si>
  <si>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</si>
  <si>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</si>
  <si>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</si>
  <si>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</si>
  <si>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</si>
  <si>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</si>
  <si>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</si>
  <si>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Unrestricted (and Designated, e.g., Columbarium)</t>
  </si>
  <si>
    <t xml:space="preserve">7122 Vale Cemetery upkeep</t>
  </si>
  <si>
    <t xml:space="preserve">7123 Parking Lot Maintenance</t>
  </si>
  <si>
    <t xml:space="preserve">8004 Banking Expense</t>
  </si>
  <si>
    <t xml:space="preserve">16 Finance</t>
  </si>
  <si>
    <t xml:space="preserve">8005 Audit and Consulting</t>
  </si>
  <si>
    <t>Finance</t>
  </si>
  <si>
    <t xml:space="preserve">8010 Classis Assessments</t>
  </si>
  <si>
    <t xml:space="preserve">8015 Insurance</t>
  </si>
  <si>
    <t xml:space="preserve">8020 990 Preparation Expense 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</si>
  <si>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</si>
  <si>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</si>
  <si>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</si>
  <si>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</si>
  <si>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</si>
  <si>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 xml:space="preserve">8110 Archives &amp; Restoration</t>
  </si>
  <si>
    <t>Archives</t>
  </si>
  <si>
    <t xml:space="preserve">17 Archives</t>
  </si>
  <si>
    <t xml:space="preserve">8111 Four Chaplains(6 people)</t>
  </si>
  <si>
    <t xml:space="preserve">8120 Paper/Printing expense</t>
  </si>
  <si>
    <t xml:space="preserve">8125 Supplies Archives</t>
  </si>
  <si>
    <t xml:space="preserve">9001 Personnel Committee expense</t>
  </si>
  <si>
    <t>Office</t>
  </si>
  <si>
    <t xml:space="preserve">18 Administration</t>
  </si>
  <si>
    <t xml:space="preserve">18a Administration</t>
  </si>
  <si>
    <t xml:space="preserve">9005 Computer Maint/Repair/Internet</t>
  </si>
  <si>
    <t xml:space="preserve">9007 Audio Visual Contract Services (replaced by 6004 in Worship)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</si>
  <si>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</si>
  <si>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</si>
  <si>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</si>
  <si>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</si>
  <si>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</si>
  <si>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</si>
  <si>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</si>
  <si>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</si>
  <si>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</si>
  <si>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</si>
  <si>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</si>
  <si>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>9111 Advertising</t>
  </si>
  <si>
    <t>Communications</t>
  </si>
  <si>
    <t xml:space="preserve">19 Communications</t>
  </si>
  <si>
    <t xml:space="preserve">19a Communications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</si>
  <si>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</si>
  <si>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</si>
  <si>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</si>
  <si>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</si>
  <si>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</t>
  </si>
  <si>
    <t xml:space="preserve">5002 FICA Administration</t>
  </si>
  <si>
    <t xml:space="preserve">20 Personnel</t>
  </si>
  <si>
    <t xml:space="preserve">5003 Wages Administration</t>
  </si>
  <si>
    <t xml:space="preserve">5004 Retirement Administration</t>
  </si>
  <si>
    <t xml:space="preserve">5005 Medical Administration</t>
  </si>
  <si>
    <t xml:space="preserve">5006 Continuing Education Administration</t>
  </si>
  <si>
    <t xml:space="preserve">5012 FICA Senior Pastor</t>
  </si>
  <si>
    <t xml:space="preserve">Sr. Pastor</t>
  </si>
  <si>
    <t xml:space="preserve">5013 Wages Sr.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</si>
  <si>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</si>
  <si>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</si>
  <si>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</si>
  <si>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</si>
  <si>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</si>
  <si>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5019 Disability &amp; Life Sr. Pastor</t>
  </si>
  <si>
    <t xml:space="preserve">5020 Pastoral Search Expense</t>
  </si>
  <si>
    <t xml:space="preserve">Pastoral Search</t>
  </si>
  <si>
    <t xml:space="preserve">5032 FICA Maintenance (Property)</t>
  </si>
  <si>
    <t>Maintenance</t>
  </si>
  <si>
    <t xml:space="preserve">5033 Wages Maintenance (Property)</t>
  </si>
  <si>
    <t xml:space="preserve">5034 Medical Maintenance (Property)</t>
  </si>
  <si>
    <t xml:space="preserve">5035 Retirement Maintenance (Property)</t>
  </si>
  <si>
    <t xml:space="preserve">5036 Continuing Education (Property)</t>
  </si>
  <si>
    <t xml:space="preserve">5037 Houskeeping staff (new position)</t>
  </si>
  <si>
    <t xml:space="preserve">5042 FICA Music</t>
  </si>
  <si>
    <t>Music</t>
  </si>
  <si>
    <t xml:space="preserve">5043 Wages Music</t>
  </si>
  <si>
    <t xml:space="preserve">5051 Continuing Ed (Assoc Pastor)</t>
  </si>
  <si>
    <t xml:space="preserve">Assoc. Pastor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</si>
  <si>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</si>
  <si>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</si>
  <si>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</si>
  <si>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</si>
  <si>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</si>
  <si>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</si>
  <si>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</si>
  <si>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 xml:space="preserve">5072 FICA Youth</t>
  </si>
  <si>
    <t xml:space="preserve">5073 Wages Youth</t>
  </si>
  <si>
    <t xml:space="preserve">5074 Health Insurance Youth</t>
  </si>
  <si>
    <t xml:space="preserve">5075 Retirement Youth</t>
  </si>
  <si>
    <t xml:space="preserve">5080 Continuing Education Youth</t>
  </si>
  <si>
    <t xml:space="preserve">6373 Wages Lunch Coordinator</t>
  </si>
  <si>
    <t xml:space="preserve">Wednesday lunch coordinator</t>
  </si>
  <si>
    <t xml:space="preserve">6374 FICA Lunch Coordinator</t>
  </si>
  <si>
    <t xml:space="preserve">6375 Continuing Education Lunch Coordinator</t>
  </si>
  <si>
    <t xml:space="preserve">9002 Business ans auto expense</t>
  </si>
  <si>
    <t xml:space="preserve">9050 Staff Development Administration</t>
  </si>
  <si>
    <t xml:space="preserve">9121 Wages Communication Specialist</t>
  </si>
  <si>
    <t xml:space="preserve">Communication Specialist</t>
  </si>
  <si>
    <t xml:space="preserve">9122 FICA Communication Specialist</t>
  </si>
  <si>
    <t xml:space="preserve">9123 Retirement Communication Speicalist</t>
  </si>
  <si>
    <t xml:space="preserve">9125 Continuing Education Communications Specialist</t>
  </si>
  <si>
    <t xml:space="preserve">2215a Linear Adj: Checking Account</t>
  </si>
  <si>
    <t xml:space="preserve">Investment Income - Linear Adjustments</t>
  </si>
  <si>
    <t xml:space="preserve">Linear Adjustment</t>
  </si>
  <si>
    <t xml:space="preserve">4041a Linear Adj: Endowment Income</t>
  </si>
  <si>
    <t xml:space="preserve">4045a Linear Adj: UP Mission Fund Income</t>
  </si>
  <si>
    <t xml:space="preserve">4046a Linear Adj: UP Mission Fund Income</t>
  </si>
  <si>
    <t xml:space="preserve">4049a Linear Adj: Tercentenary Income</t>
  </si>
  <si>
    <t xml:space="preserve">4061a Linear Adj: McDonald (Covenant)</t>
  </si>
  <si>
    <t xml:space="preserve">4062a Linear Adj: Covenant Fund Income</t>
  </si>
  <si>
    <t xml:space="preserve">4063a Linear Adj: Covenant Income for M&amp;B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</si>
</sst>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0.000000"/>
      <color rgb="FF0070C0"/>
      <name val="Arial"/>
      <scheme val="minor"/>
    </font>
    <font>
      <sz val="10.000000"/>
      <color indexed="2"/>
      <name val="Arial"/>
      <scheme val="minor"/>
    </font>
    <font>
      <sz val="10.000000"/>
      <name val="Arial"/>
      <scheme val="minor"/>
    </font>
    <font>
      <sz val="11.000000"/>
      <color theme="1"/>
      <name val="Arial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0"/>
        <bgColor theme="0" tint="0"/>
      </patternFill>
    </fill>
    <fill>
      <patternFill patternType="solid">
        <fgColor indexed="5"/>
        <bgColor indexed="5"/>
      </patternFill>
    </fill>
    <fill>
      <patternFill patternType="solid">
        <fgColor indexed="5"/>
      </patternFill>
    </fill>
    <fill>
      <patternFill patternType="solid">
        <fgColor indexed="65"/>
      </patternFill>
    </fill>
    <fill>
      <patternFill patternType="solid">
        <fgColor theme="0"/>
        <bgColor rgb="FFD9D9D9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4" tint="0.39997558519241921"/>
      </left>
      <right style="none"/>
      <top style="thin">
        <color theme="4" tint="0.39997558519241921"/>
      </top>
      <bottom style="thin">
        <color theme="4" tint="0.3999755851924192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19">
    <xf fontId="0" fillId="0" borderId="0" numFmtId="0" xfId="0"/>
    <xf fontId="0" fillId="0" borderId="0" numFmtId="0" xfId="0" applyAlignment="1">
      <alignment vertical="top"/>
    </xf>
    <xf fontId="0" fillId="0" borderId="0" numFmtId="0" xfId="0" applyAlignment="1">
      <alignment vertical="center"/>
    </xf>
    <xf fontId="2" fillId="2" borderId="1" numFmtId="49" xfId="0" applyNumberFormat="1" applyFont="1" applyFill="1" applyBorder="1" applyAlignment="1">
      <alignment horizontal="center" vertical="center" wrapText="1"/>
    </xf>
    <xf fontId="0" fillId="0" borderId="0" numFmtId="0" xfId="0"/>
    <xf fontId="3" fillId="3" borderId="0" numFmtId="0" xfId="0" applyFont="1" applyFill="1">
      <protection hidden="0" locked="1"/>
    </xf>
    <xf fontId="4" fillId="4" borderId="0" numFmtId="0" xfId="0" applyFont="1" applyFill="1" applyAlignment="1">
      <alignment vertical="top"/>
    </xf>
    <xf fontId="5" fillId="0" borderId="0" numFmtId="0" xfId="0" applyFont="1" applyAlignment="1">
      <alignment vertical="top"/>
    </xf>
    <xf fontId="5" fillId="5" borderId="0" numFmtId="0" xfId="0" applyFont="1" applyFill="1" applyAlignment="1">
      <alignment vertical="top"/>
    </xf>
    <xf fontId="4" fillId="0" borderId="0" numFmtId="0" xfId="0" applyFont="1" applyAlignment="1">
      <alignment vertical="top"/>
    </xf>
    <xf fontId="6" fillId="6" borderId="0" numFmtId="0" xfId="0" applyFont="1" applyFill="1" applyAlignment="1">
      <alignment vertical="top"/>
    </xf>
    <xf fontId="0" fillId="0" borderId="2" numFmtId="0" xfId="0" applyBorder="1" applyAlignment="1">
      <alignment vertical="top"/>
    </xf>
    <xf fontId="0" fillId="4" borderId="0" numFmtId="0" xfId="0" applyFill="1" applyAlignment="1">
      <alignment vertical="top"/>
    </xf>
    <xf fontId="6" fillId="7" borderId="0" numFmtId="0" xfId="0" applyFont="1" applyFill="1" applyAlignment="1">
      <alignment vertical="top"/>
    </xf>
    <xf fontId="0" fillId="0" borderId="2" numFmtId="0" xfId="0" applyBorder="1"/>
    <xf fontId="0" fillId="0" borderId="0" numFmtId="0" xfId="0" applyAlignment="1">
      <alignment horizontal="left" vertical="top"/>
    </xf>
    <xf fontId="4" fillId="0" borderId="2" numFmtId="0" xfId="0" applyFont="1" applyBorder="1" applyAlignment="1">
      <alignment vertical="top"/>
    </xf>
    <xf fontId="4" fillId="5" borderId="0" numFmtId="0" xfId="0" applyFont="1" applyFill="1" applyAlignment="1">
      <alignment vertical="top"/>
    </xf>
    <xf fontId="4" fillId="0" borderId="3" numFmtId="0" xfId="0" applyFont="1" applyBorder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2" Type="http://schemas.microsoft.com/office/2017/10/relationships/person" Target="persons/person.xml"/><Relationship  Id="rId3" Type="http://schemas.openxmlformats.org/officeDocument/2006/relationships/worksheet" Target="worksheets/sheet1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vid Hjelmar" id="{486E86E8-E651-6CDE-7D38-7CE05A80F8B0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8" personId="{486E86E8-E651-6CDE-7D38-7CE05A80F8B0}" id="{7252F538-6D6E-97D8-146C-E9E4379178FC}" done="0">
    <text xml:space="preserve">only used from Covenant Fund in 2022. not used at all in 2023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" zoomScale="100" workbookViewId="0">
      <pane ySplit="2" topLeftCell="A3" activePane="bottomLeft" state="frozen"/>
      <selection activeCell="D37" activeCellId="0" sqref="D37"/>
    </sheetView>
  </sheetViews>
  <sheetFormatPr defaultRowHeight="12.75"/>
  <cols>
    <col customWidth="1" min="1" max="1" style="1" width="10.85546875"/>
    <col customWidth="1" min="2" max="2" style="1" width="25.7109375"/>
    <col customWidth="1" min="3" max="3" style="1" width="22.140625"/>
    <col bestFit="1" customWidth="1" min="4" max="4" style="1" width="56.5703125"/>
    <col customWidth="1" hidden="1" min="5" max="5" style="1" width="36.85546875"/>
    <col customWidth="1" hidden="1" min="6" max="6" style="1" width="35.28515625"/>
    <col customWidth="1" hidden="1" min="7" max="9" style="1" width="32.85546875"/>
    <col customWidth="1" min="10" max="10" style="1" width="32.85546875"/>
    <col customWidth="1" min="11" max="12" width="32.85546875"/>
    <col customWidth="1" min="13" max="13" width="20.140625"/>
    <col min="14" max="16384" style="1" width="9.140625"/>
  </cols>
  <sheetData>
    <row r="1" s="2" customFormat="1" ht="21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2">
        <v>0</v>
      </c>
    </row>
    <row r="2">
      <c r="A2" s="1" t="s">
        <v>13</v>
      </c>
      <c r="B2" s="1" t="str">
        <f t="shared" ref="B2:B9" si="0">J2</f>
        <v xml:space="preserve">01 Contributions - pledges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17</v>
      </c>
      <c r="I2" s="1" t="s">
        <v>18</v>
      </c>
      <c r="J2" s="1" t="s">
        <v>19</v>
      </c>
      <c r="K2" s="1" t="s">
        <v>20</v>
      </c>
      <c r="L2" s="1" t="s">
        <v>20</v>
      </c>
      <c r="M2" s="1" t="s">
        <v>21</v>
      </c>
      <c r="N2" s="1">
        <f t="shared" ref="N2:N9" si="1">IF(B2=B1,N1,N1+1)</f>
        <v>1</v>
      </c>
    </row>
    <row r="3">
      <c r="A3" s="1" t="s">
        <v>13</v>
      </c>
      <c r="B3" s="1" t="str">
        <f t="shared" si="0"/>
        <v xml:space="preserve">01 Contributions - pledges</v>
      </c>
      <c r="C3" s="1" t="s">
        <v>14</v>
      </c>
      <c r="D3" s="1" t="s">
        <v>22</v>
      </c>
      <c r="E3" s="1" t="s">
        <v>16</v>
      </c>
      <c r="F3" s="1" t="s">
        <v>17</v>
      </c>
      <c r="G3" s="1" t="s">
        <v>18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20</v>
      </c>
      <c r="M3" s="1" t="s">
        <v>21</v>
      </c>
      <c r="N3" s="1">
        <f t="shared" si="1"/>
        <v>1</v>
      </c>
    </row>
    <row r="4">
      <c r="A4" s="1" t="s">
        <v>13</v>
      </c>
      <c r="B4" s="1" t="str">
        <f t="shared" si="0"/>
        <v xml:space="preserve">02 Contributions - other</v>
      </c>
      <c r="C4" s="1" t="s">
        <v>23</v>
      </c>
      <c r="D4" t="s">
        <v>24</v>
      </c>
      <c r="E4" t="s">
        <v>25</v>
      </c>
      <c r="F4" s="1" t="s">
        <v>17</v>
      </c>
      <c r="G4" s="1" t="s">
        <v>21</v>
      </c>
      <c r="H4" s="1" t="s">
        <v>17</v>
      </c>
      <c r="I4" s="1" t="s">
        <v>21</v>
      </c>
      <c r="J4" s="1" t="s">
        <v>26</v>
      </c>
      <c r="K4" s="1" t="s">
        <v>27</v>
      </c>
      <c r="L4" s="1" t="s">
        <v>27</v>
      </c>
      <c r="M4" s="1" t="s">
        <v>21</v>
      </c>
      <c r="N4" s="1">
        <f t="shared" si="1"/>
        <v>2</v>
      </c>
    </row>
    <row r="5">
      <c r="A5" s="1" t="s">
        <v>13</v>
      </c>
      <c r="B5" s="1" t="str">
        <f t="shared" si="0"/>
        <v xml:space="preserve">02 Contributions - other</v>
      </c>
      <c r="C5" s="1" t="s">
        <v>23</v>
      </c>
      <c r="D5" s="1" t="s">
        <v>28</v>
      </c>
      <c r="E5" s="1" t="s">
        <v>25</v>
      </c>
      <c r="F5" s="1" t="s">
        <v>17</v>
      </c>
      <c r="G5" s="1" t="s">
        <v>21</v>
      </c>
      <c r="H5" s="1" t="s">
        <v>17</v>
      </c>
      <c r="I5" s="1" t="s">
        <v>21</v>
      </c>
      <c r="J5" s="1" t="s">
        <v>26</v>
      </c>
      <c r="K5" s="1" t="s">
        <v>27</v>
      </c>
      <c r="L5" s="1" t="s">
        <v>27</v>
      </c>
      <c r="M5" s="1" t="s">
        <v>21</v>
      </c>
      <c r="N5" s="1">
        <f t="shared" si="1"/>
        <v>2</v>
      </c>
    </row>
    <row r="6">
      <c r="A6" s="1" t="s">
        <v>13</v>
      </c>
      <c r="B6" s="1" t="str">
        <f t="shared" si="0"/>
        <v xml:space="preserve">02 Contributions - other</v>
      </c>
      <c r="C6" s="1" t="s">
        <v>14</v>
      </c>
      <c r="D6" t="s">
        <v>29</v>
      </c>
      <c r="E6" s="1" t="s">
        <v>16</v>
      </c>
      <c r="F6" s="1" t="s">
        <v>17</v>
      </c>
      <c r="G6" s="1" t="s">
        <v>21</v>
      </c>
      <c r="H6" s="1" t="s">
        <v>17</v>
      </c>
      <c r="I6" s="1" t="s">
        <v>21</v>
      </c>
      <c r="J6" s="1" t="s">
        <v>26</v>
      </c>
      <c r="K6" s="1" t="s">
        <v>20</v>
      </c>
      <c r="L6" s="1" t="s">
        <v>20</v>
      </c>
      <c r="M6" s="1" t="s">
        <v>21</v>
      </c>
      <c r="N6" s="1">
        <f t="shared" si="1"/>
        <v>2</v>
      </c>
    </row>
    <row r="7">
      <c r="A7" s="1" t="s">
        <v>13</v>
      </c>
      <c r="B7" s="1" t="str">
        <f t="shared" si="0"/>
        <v xml:space="preserve">02 Contributions - other</v>
      </c>
      <c r="C7" s="1" t="s">
        <v>30</v>
      </c>
      <c r="D7" s="1" t="s">
        <v>31</v>
      </c>
      <c r="E7" s="1" t="s">
        <v>16</v>
      </c>
      <c r="F7" s="1" t="s">
        <v>17</v>
      </c>
      <c r="G7" s="1" t="s">
        <v>21</v>
      </c>
      <c r="H7" s="1" t="s">
        <v>17</v>
      </c>
      <c r="I7" s="1" t="s">
        <v>21</v>
      </c>
      <c r="J7" s="1" t="s">
        <v>26</v>
      </c>
      <c r="K7" s="1" t="s">
        <v>20</v>
      </c>
      <c r="L7" s="1" t="s">
        <v>20</v>
      </c>
      <c r="M7" s="1" t="s">
        <v>21</v>
      </c>
      <c r="N7" s="1">
        <f t="shared" si="1"/>
        <v>2</v>
      </c>
    </row>
    <row r="8">
      <c r="A8" s="1" t="s">
        <v>13</v>
      </c>
      <c r="B8" s="1" t="str">
        <f t="shared" si="0"/>
        <v xml:space="preserve">02 Contributions - other</v>
      </c>
      <c r="C8" s="1" t="s">
        <v>30</v>
      </c>
      <c r="D8" s="1" t="s">
        <v>32</v>
      </c>
      <c r="E8" t="s">
        <v>25</v>
      </c>
      <c r="F8" s="1" t="s">
        <v>17</v>
      </c>
      <c r="G8" s="1" t="s">
        <v>21</v>
      </c>
      <c r="H8" s="1" t="s">
        <v>17</v>
      </c>
      <c r="I8" s="1" t="s">
        <v>21</v>
      </c>
      <c r="J8" s="1" t="s">
        <v>26</v>
      </c>
      <c r="K8" s="1" t="s">
        <v>20</v>
      </c>
      <c r="L8" s="1" t="s">
        <v>20</v>
      </c>
      <c r="M8" s="1" t="s">
        <v>21</v>
      </c>
      <c r="N8" s="1">
        <f t="shared" si="1"/>
        <v>2</v>
      </c>
    </row>
    <row r="9">
      <c r="A9" s="1" t="s">
        <v>13</v>
      </c>
      <c r="B9" s="1" t="str">
        <f t="shared" si="0"/>
        <v xml:space="preserve">02 Contributions - other</v>
      </c>
      <c r="C9" s="1" t="s">
        <v>30</v>
      </c>
      <c r="D9" s="1" t="s">
        <v>33</v>
      </c>
      <c r="E9" s="4" t="s">
        <v>25</v>
      </c>
      <c r="F9" s="1" t="s">
        <v>34</v>
      </c>
      <c r="G9" s="1" t="s">
        <v>21</v>
      </c>
      <c r="H9" s="1" t="s">
        <v>34</v>
      </c>
      <c r="I9" s="1" t="s">
        <v>21</v>
      </c>
      <c r="J9" s="1" t="s">
        <v>26</v>
      </c>
      <c r="K9" s="1" t="s">
        <v>20</v>
      </c>
      <c r="L9" s="1" t="s">
        <v>20</v>
      </c>
      <c r="M9" s="1" t="s">
        <v>21</v>
      </c>
      <c r="N9" s="1">
        <f t="shared" si="1"/>
        <v>2</v>
      </c>
    </row>
    <row r="10">
      <c r="A10" s="1" t="s">
        <v>13</v>
      </c>
      <c r="B10" s="1" t="str">
        <f t="shared" ref="B10:B73" si="2">J10</f>
        <v xml:space="preserve">02 Contributions - other</v>
      </c>
      <c r="C10" s="1" t="s">
        <v>30</v>
      </c>
      <c r="D10" s="1" t="s">
        <v>35</v>
      </c>
      <c r="E10" t="s">
        <v>25</v>
      </c>
      <c r="F10" s="1" t="s">
        <v>34</v>
      </c>
      <c r="G10" s="1" t="s">
        <v>21</v>
      </c>
      <c r="H10" s="1" t="s">
        <v>34</v>
      </c>
      <c r="I10" s="1" t="s">
        <v>21</v>
      </c>
      <c r="J10" s="1" t="s">
        <v>26</v>
      </c>
      <c r="K10" s="1" t="s">
        <v>20</v>
      </c>
      <c r="L10" s="1" t="s">
        <v>20</v>
      </c>
      <c r="M10" s="1" t="s">
        <v>21</v>
      </c>
      <c r="N10" s="1">
        <f>IF(B10=B9,N9,N9+1)</f>
        <v>2</v>
      </c>
    </row>
    <row r="11">
      <c r="A11" s="1" t="s">
        <v>13</v>
      </c>
      <c r="B11" s="1" t="str">
        <f t="shared" si="2"/>
        <v xml:space="preserve">02 Contributions - other</v>
      </c>
      <c r="C11" s="1" t="s">
        <v>30</v>
      </c>
      <c r="D11" s="1" t="s">
        <v>36</v>
      </c>
      <c r="E11" s="4" t="s">
        <v>25</v>
      </c>
      <c r="F11" s="1" t="s">
        <v>34</v>
      </c>
      <c r="G11" s="1" t="s">
        <v>21</v>
      </c>
      <c r="H11" s="1" t="s">
        <v>34</v>
      </c>
      <c r="I11" s="1" t="s">
        <v>21</v>
      </c>
      <c r="J11" s="1" t="s">
        <v>26</v>
      </c>
      <c r="K11" s="1" t="s">
        <v>20</v>
      </c>
      <c r="L11" s="1" t="s">
        <v>20</v>
      </c>
      <c r="M11" s="1" t="s">
        <v>21</v>
      </c>
      <c r="N11" s="1">
        <f t="shared" ref="N11:N74" si="3">IF(B11=B10,N10,N10+1)</f>
        <v>2</v>
      </c>
    </row>
    <row r="12">
      <c r="A12" s="1" t="s">
        <v>13</v>
      </c>
      <c r="B12" s="1" t="str">
        <f t="shared" si="2"/>
        <v xml:space="preserve">02 Contributions - other</v>
      </c>
      <c r="C12" s="1" t="s">
        <v>30</v>
      </c>
      <c r="D12" s="1" t="s">
        <v>37</v>
      </c>
      <c r="E12" t="s">
        <v>25</v>
      </c>
      <c r="F12" s="1" t="s">
        <v>34</v>
      </c>
      <c r="G12" s="1" t="s">
        <v>21</v>
      </c>
      <c r="H12" s="1" t="s">
        <v>34</v>
      </c>
      <c r="I12" s="1" t="s">
        <v>21</v>
      </c>
      <c r="J12" s="1" t="s">
        <v>26</v>
      </c>
      <c r="K12" s="1" t="s">
        <v>20</v>
      </c>
      <c r="L12" s="1" t="s">
        <v>20</v>
      </c>
      <c r="M12" s="1" t="s">
        <v>21</v>
      </c>
      <c r="N12" s="1">
        <f t="shared" si="3"/>
        <v>2</v>
      </c>
    </row>
    <row r="13">
      <c r="A13" s="1" t="s">
        <v>13</v>
      </c>
      <c r="B13" s="1" t="str">
        <f t="shared" si="2"/>
        <v xml:space="preserve">02 Contributions - other</v>
      </c>
      <c r="C13" s="1" t="s">
        <v>30</v>
      </c>
      <c r="D13" s="5" t="s">
        <v>38</v>
      </c>
      <c r="E13" s="1"/>
      <c r="F13" s="1"/>
      <c r="G13" s="1"/>
      <c r="H13" s="1"/>
      <c r="I13" s="1"/>
      <c r="J13" s="1" t="s">
        <v>26</v>
      </c>
      <c r="K13" s="1" t="s">
        <v>20</v>
      </c>
      <c r="L13" s="1" t="s">
        <v>20</v>
      </c>
      <c r="M13" s="1" t="s">
        <v>21</v>
      </c>
      <c r="N13" s="1">
        <f t="shared" si="3"/>
        <v>2</v>
      </c>
    </row>
    <row r="14">
      <c r="A14" s="1" t="s">
        <v>13</v>
      </c>
      <c r="B14" s="1" t="str">
        <f t="shared" si="2"/>
        <v xml:space="preserve">02 Contributions - other</v>
      </c>
      <c r="C14" s="1" t="s">
        <v>30</v>
      </c>
      <c r="D14" s="1" t="s">
        <v>39</v>
      </c>
      <c r="E14" t="s">
        <v>25</v>
      </c>
      <c r="F14" s="1" t="s">
        <v>34</v>
      </c>
      <c r="G14" s="1" t="s">
        <v>21</v>
      </c>
      <c r="H14" s="1" t="s">
        <v>34</v>
      </c>
      <c r="I14" s="1" t="s">
        <v>21</v>
      </c>
      <c r="J14" s="1" t="s">
        <v>26</v>
      </c>
      <c r="K14" s="1" t="s">
        <v>20</v>
      </c>
      <c r="L14" s="1" t="s">
        <v>20</v>
      </c>
      <c r="M14" s="1" t="s">
        <v>21</v>
      </c>
      <c r="N14" s="1">
        <f t="shared" si="3"/>
        <v>2</v>
      </c>
    </row>
    <row r="15">
      <c r="A15" s="1" t="s">
        <v>13</v>
      </c>
      <c r="B15" s="1" t="str">
        <f t="shared" si="2"/>
        <v xml:space="preserve">02 Contributions - other</v>
      </c>
      <c r="C15" s="1" t="s">
        <v>30</v>
      </c>
      <c r="D15" s="1" t="s">
        <v>40</v>
      </c>
      <c r="E15" s="1" t="s">
        <v>16</v>
      </c>
      <c r="F15" s="1" t="s">
        <v>17</v>
      </c>
      <c r="G15" s="1" t="s">
        <v>18</v>
      </c>
      <c r="H15" s="1" t="s">
        <v>17</v>
      </c>
      <c r="I15" s="1" t="s">
        <v>18</v>
      </c>
      <c r="J15" s="1" t="s">
        <v>26</v>
      </c>
      <c r="K15" s="1" t="s">
        <v>20</v>
      </c>
      <c r="L15" s="1" t="s">
        <v>20</v>
      </c>
      <c r="M15" s="1" t="s">
        <v>21</v>
      </c>
      <c r="N15" s="1">
        <f t="shared" si="3"/>
        <v>2</v>
      </c>
    </row>
    <row r="16">
      <c r="A16" s="1" t="s">
        <v>13</v>
      </c>
      <c r="B16" s="1" t="str">
        <f t="shared" si="2"/>
        <v xml:space="preserve">02 Contributions - other</v>
      </c>
      <c r="C16" s="1" t="s">
        <v>30</v>
      </c>
      <c r="D16" s="1" t="s">
        <v>41</v>
      </c>
      <c r="E16" t="s">
        <v>25</v>
      </c>
      <c r="F16" s="1" t="s">
        <v>34</v>
      </c>
      <c r="G16" s="1" t="s">
        <v>21</v>
      </c>
      <c r="H16" s="1" t="s">
        <v>34</v>
      </c>
      <c r="I16" s="1" t="s">
        <v>21</v>
      </c>
      <c r="J16" s="1" t="s">
        <v>26</v>
      </c>
      <c r="K16" s="1" t="s">
        <v>20</v>
      </c>
      <c r="L16" s="1" t="s">
        <v>20</v>
      </c>
      <c r="M16" s="1" t="s">
        <v>21</v>
      </c>
      <c r="N16" s="1">
        <f t="shared" si="3"/>
        <v>2</v>
      </c>
    </row>
    <row r="17">
      <c r="A17" s="1" t="s">
        <v>13</v>
      </c>
      <c r="B17" s="1" t="str">
        <f t="shared" si="2"/>
        <v xml:space="preserve">02 Contributions - other</v>
      </c>
      <c r="C17" s="1" t="s">
        <v>30</v>
      </c>
      <c r="D17" s="1" t="s">
        <v>42</v>
      </c>
      <c r="E17" s="1" t="s">
        <v>16</v>
      </c>
      <c r="F17" s="1" t="s">
        <v>17</v>
      </c>
      <c r="G17" s="1" t="s">
        <v>21</v>
      </c>
      <c r="H17" s="1" t="s">
        <v>17</v>
      </c>
      <c r="I17" s="1" t="s">
        <v>21</v>
      </c>
      <c r="J17" s="1" t="s">
        <v>26</v>
      </c>
      <c r="K17" s="1" t="s">
        <v>20</v>
      </c>
      <c r="L17" s="1" t="s">
        <v>20</v>
      </c>
      <c r="M17" s="1" t="s">
        <v>21</v>
      </c>
      <c r="N17" s="1">
        <f t="shared" si="3"/>
        <v>2</v>
      </c>
    </row>
    <row r="18">
      <c r="A18" s="1" t="s">
        <v>13</v>
      </c>
      <c r="B18" s="1" t="str">
        <f t="shared" si="2"/>
        <v xml:space="preserve">02 Contributions - other</v>
      </c>
      <c r="C18" s="1" t="s">
        <v>30</v>
      </c>
      <c r="D18" s="6" t="s">
        <v>43</v>
      </c>
      <c r="E18" s="1" t="s">
        <v>16</v>
      </c>
      <c r="F18" s="1" t="s">
        <v>17</v>
      </c>
      <c r="G18" s="1" t="s">
        <v>21</v>
      </c>
      <c r="H18" s="1" t="s">
        <v>17</v>
      </c>
      <c r="I18" s="1" t="s">
        <v>21</v>
      </c>
      <c r="J18" s="1" t="s">
        <v>26</v>
      </c>
      <c r="K18" s="1" t="s">
        <v>20</v>
      </c>
      <c r="L18" s="1" t="s">
        <v>20</v>
      </c>
      <c r="M18" s="1" t="s">
        <v>21</v>
      </c>
      <c r="N18" s="1">
        <f t="shared" si="3"/>
        <v>2</v>
      </c>
    </row>
    <row r="19">
      <c r="A19" s="1" t="s">
        <v>13</v>
      </c>
      <c r="B19" s="1" t="str">
        <f t="shared" si="2"/>
        <v xml:space="preserve">02 Contributions - other</v>
      </c>
      <c r="C19" s="1" t="s">
        <v>30</v>
      </c>
      <c r="D19" s="1" t="s">
        <v>44</v>
      </c>
      <c r="E19" s="4" t="s">
        <v>25</v>
      </c>
      <c r="F19" s="1" t="s">
        <v>17</v>
      </c>
      <c r="G19" s="1" t="s">
        <v>21</v>
      </c>
      <c r="H19" s="1" t="s">
        <v>17</v>
      </c>
      <c r="I19" s="1" t="s">
        <v>21</v>
      </c>
      <c r="J19" s="1" t="s">
        <v>26</v>
      </c>
      <c r="K19" s="1" t="s">
        <v>20</v>
      </c>
      <c r="L19" s="1" t="s">
        <v>20</v>
      </c>
      <c r="M19" s="1" t="s">
        <v>21</v>
      </c>
      <c r="N19" s="1">
        <f t="shared" si="3"/>
        <v>2</v>
      </c>
    </row>
    <row r="20">
      <c r="A20" s="1" t="s">
        <v>13</v>
      </c>
      <c r="B20" s="1" t="str">
        <f t="shared" si="2"/>
        <v xml:space="preserve">02 Contributions - other</v>
      </c>
      <c r="C20" s="1" t="s">
        <v>30</v>
      </c>
      <c r="D20" t="s">
        <v>45</v>
      </c>
      <c r="E20" t="s">
        <v>25</v>
      </c>
      <c r="F20" s="1" t="s">
        <v>46</v>
      </c>
      <c r="G20" s="1" t="s">
        <v>21</v>
      </c>
      <c r="H20" s="1" t="s">
        <v>46</v>
      </c>
      <c r="I20" s="1" t="s">
        <v>21</v>
      </c>
      <c r="J20" s="1" t="s">
        <v>26</v>
      </c>
      <c r="K20" s="1" t="s">
        <v>20</v>
      </c>
      <c r="L20" s="1" t="s">
        <v>20</v>
      </c>
      <c r="M20" s="1" t="s">
        <v>21</v>
      </c>
      <c r="N20" s="1">
        <f t="shared" si="3"/>
        <v>2</v>
      </c>
    </row>
    <row r="21">
      <c r="A21" s="1" t="s">
        <v>13</v>
      </c>
      <c r="B21" s="1" t="str">
        <f t="shared" si="2"/>
        <v xml:space="preserve">03 Endowments</v>
      </c>
      <c r="C21" s="1" t="s">
        <v>23</v>
      </c>
      <c r="D21" s="7" t="s">
        <v>47</v>
      </c>
      <c r="E21" s="1" t="s">
        <v>16</v>
      </c>
      <c r="F21" s="1" t="s">
        <v>17</v>
      </c>
      <c r="G21" s="1" t="s">
        <v>48</v>
      </c>
      <c r="H21" s="1" t="s">
        <v>17</v>
      </c>
      <c r="I21" s="1" t="s">
        <v>48</v>
      </c>
      <c r="J21" s="1" t="s">
        <v>49</v>
      </c>
      <c r="K21" s="1" t="s">
        <v>50</v>
      </c>
      <c r="L21" s="1" t="s">
        <v>50</v>
      </c>
      <c r="M21" s="1" t="s">
        <v>51</v>
      </c>
      <c r="N21" s="1">
        <f t="shared" si="3"/>
        <v>3</v>
      </c>
    </row>
    <row r="22">
      <c r="A22" s="1" t="s">
        <v>13</v>
      </c>
      <c r="B22" s="1" t="str">
        <f t="shared" si="2"/>
        <v xml:space="preserve">03 Endowments</v>
      </c>
      <c r="C22" s="1" t="s">
        <v>23</v>
      </c>
      <c r="D22" s="7" t="s">
        <v>52</v>
      </c>
      <c r="E22" s="1" t="s">
        <v>16</v>
      </c>
      <c r="F22" s="1" t="s">
        <v>17</v>
      </c>
      <c r="G22" s="1" t="s">
        <v>53</v>
      </c>
      <c r="H22" s="1" t="s">
        <v>17</v>
      </c>
      <c r="I22" s="1" t="s">
        <v>53</v>
      </c>
      <c r="J22" s="1" t="s">
        <v>49</v>
      </c>
      <c r="K22" s="1" t="s">
        <v>50</v>
      </c>
      <c r="L22" s="1" t="s">
        <v>50</v>
      </c>
      <c r="M22" s="1" t="s">
        <v>51</v>
      </c>
      <c r="N22" s="1">
        <f t="shared" si="3"/>
        <v>3</v>
      </c>
    </row>
    <row r="23">
      <c r="A23" s="1" t="s">
        <v>13</v>
      </c>
      <c r="B23" s="1" t="str">
        <f t="shared" si="2"/>
        <v xml:space="preserve">03 Endowments</v>
      </c>
      <c r="C23" s="1" t="s">
        <v>23</v>
      </c>
      <c r="D23" s="7" t="s">
        <v>54</v>
      </c>
      <c r="E23" s="1" t="s">
        <v>16</v>
      </c>
      <c r="F23" s="1" t="s">
        <v>17</v>
      </c>
      <c r="G23" s="1" t="s">
        <v>55</v>
      </c>
      <c r="H23" s="1" t="s">
        <v>17</v>
      </c>
      <c r="I23" s="1" t="s">
        <v>55</v>
      </c>
      <c r="J23" s="1" t="s">
        <v>49</v>
      </c>
      <c r="K23" s="1" t="s">
        <v>50</v>
      </c>
      <c r="L23" s="1" t="s">
        <v>50</v>
      </c>
      <c r="M23" s="1" t="s">
        <v>51</v>
      </c>
      <c r="N23" s="1">
        <f t="shared" si="3"/>
        <v>3</v>
      </c>
    </row>
    <row r="24">
      <c r="A24" s="1" t="s">
        <v>13</v>
      </c>
      <c r="B24" s="1" t="str">
        <f t="shared" si="2"/>
        <v xml:space="preserve">03 Endowments</v>
      </c>
      <c r="C24" s="1" t="s">
        <v>23</v>
      </c>
      <c r="D24" s="7" t="s">
        <v>56</v>
      </c>
      <c r="E24" s="1" t="s">
        <v>16</v>
      </c>
      <c r="F24" s="1" t="s">
        <v>17</v>
      </c>
      <c r="G24" s="1" t="s">
        <v>55</v>
      </c>
      <c r="H24" s="1" t="s">
        <v>17</v>
      </c>
      <c r="I24" s="1" t="s">
        <v>55</v>
      </c>
      <c r="J24" s="1" t="s">
        <v>49</v>
      </c>
      <c r="K24" s="1" t="s">
        <v>50</v>
      </c>
      <c r="L24" s="1" t="s">
        <v>50</v>
      </c>
      <c r="M24" s="1" t="s">
        <v>51</v>
      </c>
      <c r="N24" s="1">
        <f t="shared" si="3"/>
        <v>3</v>
      </c>
    </row>
    <row r="25">
      <c r="A25" s="1" t="s">
        <v>13</v>
      </c>
      <c r="B25" s="1" t="str">
        <f t="shared" si="2"/>
        <v xml:space="preserve">03 Tercentenary Fund</v>
      </c>
      <c r="C25" s="1" t="s">
        <v>23</v>
      </c>
      <c r="D25" s="7" t="s">
        <v>57</v>
      </c>
      <c r="E25" s="7" t="s">
        <v>58</v>
      </c>
      <c r="F25" s="1" t="s">
        <v>59</v>
      </c>
      <c r="G25" s="1" t="s">
        <v>58</v>
      </c>
      <c r="H25" s="1" t="s">
        <v>59</v>
      </c>
      <c r="I25" s="1" t="s">
        <v>58</v>
      </c>
      <c r="J25" s="1" t="s">
        <v>60</v>
      </c>
      <c r="K25" s="1" t="s">
        <v>50</v>
      </c>
      <c r="L25" s="1" t="s">
        <v>50</v>
      </c>
      <c r="M25" s="1" t="s">
        <v>51</v>
      </c>
      <c r="N25" s="1">
        <f t="shared" si="3"/>
        <v>4</v>
      </c>
    </row>
    <row r="26">
      <c r="A26" s="1" t="s">
        <v>13</v>
      </c>
      <c r="B26" s="1" t="str">
        <f t="shared" si="2"/>
        <v xml:space="preserve">03 UP Mission Fund</v>
      </c>
      <c r="C26" s="1" t="s">
        <v>23</v>
      </c>
      <c r="D26" s="7" t="s">
        <v>61</v>
      </c>
      <c r="E26" s="1" t="s">
        <v>62</v>
      </c>
      <c r="F26" s="1" t="s">
        <v>34</v>
      </c>
      <c r="G26" s="1" t="s">
        <v>62</v>
      </c>
      <c r="H26" s="1" t="s">
        <v>34</v>
      </c>
      <c r="I26" s="1" t="s">
        <v>62</v>
      </c>
      <c r="J26" s="1" t="s">
        <v>63</v>
      </c>
      <c r="K26" s="1" t="s">
        <v>50</v>
      </c>
      <c r="L26" s="1" t="s">
        <v>50</v>
      </c>
      <c r="M26" s="1" t="s">
        <v>51</v>
      </c>
      <c r="N26" s="1">
        <f t="shared" si="3"/>
        <v>5</v>
      </c>
    </row>
    <row r="27">
      <c r="A27" s="1" t="s">
        <v>13</v>
      </c>
      <c r="B27" s="1" t="str">
        <f t="shared" si="2"/>
        <v xml:space="preserve">03 UP Mission Fund</v>
      </c>
      <c r="C27" s="1" t="s">
        <v>23</v>
      </c>
      <c r="D27" s="8" t="s">
        <v>64</v>
      </c>
      <c r="E27" s="1" t="s">
        <v>62</v>
      </c>
      <c r="F27" s="1" t="s">
        <v>34</v>
      </c>
      <c r="G27" s="1" t="s">
        <v>62</v>
      </c>
      <c r="H27" s="1" t="s">
        <v>34</v>
      </c>
      <c r="I27" s="1" t="s">
        <v>62</v>
      </c>
      <c r="J27" s="1" t="s">
        <v>63</v>
      </c>
      <c r="K27" s="1" t="s">
        <v>50</v>
      </c>
      <c r="L27" s="1" t="s">
        <v>50</v>
      </c>
      <c r="M27" s="1" t="s">
        <v>51</v>
      </c>
      <c r="N27" s="1">
        <f t="shared" si="3"/>
        <v>5</v>
      </c>
    </row>
    <row r="28">
      <c r="A28" s="1" t="s">
        <v>13</v>
      </c>
      <c r="B28" s="1" t="str">
        <f t="shared" si="2"/>
        <v xml:space="preserve">04 Covenant Fund</v>
      </c>
      <c r="C28" s="1" t="s">
        <v>23</v>
      </c>
      <c r="D28" s="7" t="s">
        <v>65</v>
      </c>
      <c r="E28" s="1" t="s">
        <v>66</v>
      </c>
      <c r="F28" s="1" t="s">
        <v>17</v>
      </c>
      <c r="G28" s="1" t="s">
        <v>67</v>
      </c>
      <c r="H28" s="1" t="s">
        <v>17</v>
      </c>
      <c r="I28" s="1" t="s">
        <v>67</v>
      </c>
      <c r="J28" s="1" t="s">
        <v>68</v>
      </c>
      <c r="K28" s="1" t="s">
        <v>69</v>
      </c>
      <c r="L28" s="1" t="s">
        <v>69</v>
      </c>
      <c r="M28" s="1" t="s">
        <v>51</v>
      </c>
      <c r="N28" s="1">
        <f t="shared" si="3"/>
        <v>6</v>
      </c>
    </row>
    <row r="29">
      <c r="A29" s="1" t="s">
        <v>13</v>
      </c>
      <c r="B29" s="1" t="str">
        <f t="shared" si="2"/>
        <v xml:space="preserve">04 Covenant Fund</v>
      </c>
      <c r="C29" s="1" t="s">
        <v>23</v>
      </c>
      <c r="D29" s="1" t="s">
        <v>70</v>
      </c>
      <c r="E29" s="1" t="s">
        <v>67</v>
      </c>
      <c r="F29" s="1" t="s">
        <v>34</v>
      </c>
      <c r="G29" s="1" t="s">
        <v>67</v>
      </c>
      <c r="H29" s="1" t="s">
        <v>34</v>
      </c>
      <c r="I29" s="1" t="s">
        <v>67</v>
      </c>
      <c r="J29" s="1" t="s">
        <v>68</v>
      </c>
      <c r="K29" s="1" t="s">
        <v>69</v>
      </c>
      <c r="L29" s="1" t="s">
        <v>69</v>
      </c>
      <c r="M29" s="1" t="s">
        <v>51</v>
      </c>
      <c r="N29" s="1">
        <f t="shared" si="3"/>
        <v>6</v>
      </c>
    </row>
    <row r="30">
      <c r="A30" s="1" t="s">
        <v>13</v>
      </c>
      <c r="B30" s="1" t="str">
        <f t="shared" si="2"/>
        <v xml:space="preserve">04 Covenant Fund</v>
      </c>
      <c r="C30" s="1" t="s">
        <v>23</v>
      </c>
      <c r="D30" s="7" t="s">
        <v>71</v>
      </c>
      <c r="E30" s="1" t="s">
        <v>67</v>
      </c>
      <c r="F30" s="1" t="s">
        <v>34</v>
      </c>
      <c r="G30" s="1" t="s">
        <v>67</v>
      </c>
      <c r="H30" s="1" t="s">
        <v>34</v>
      </c>
      <c r="I30" s="1" t="s">
        <v>67</v>
      </c>
      <c r="J30" s="1" t="s">
        <v>68</v>
      </c>
      <c r="K30" s="1" t="s">
        <v>69</v>
      </c>
      <c r="L30" s="1" t="s">
        <v>69</v>
      </c>
      <c r="M30" s="1" t="s">
        <v>51</v>
      </c>
      <c r="N30" s="1">
        <f t="shared" si="3"/>
        <v>6</v>
      </c>
    </row>
    <row r="31">
      <c r="A31" s="1" t="s">
        <v>13</v>
      </c>
      <c r="B31" s="1" t="str">
        <f t="shared" si="2"/>
        <v xml:space="preserve">05 Other Income</v>
      </c>
      <c r="C31" s="1" t="s">
        <v>23</v>
      </c>
      <c r="D31" t="s">
        <v>72</v>
      </c>
      <c r="E31" s="1" t="s">
        <v>16</v>
      </c>
      <c r="F31" s="1" t="s">
        <v>17</v>
      </c>
      <c r="G31" s="1" t="s">
        <v>48</v>
      </c>
      <c r="H31" s="1" t="s">
        <v>17</v>
      </c>
      <c r="I31" s="1" t="s">
        <v>48</v>
      </c>
      <c r="J31" s="1" t="s">
        <v>73</v>
      </c>
      <c r="K31" s="1" t="s">
        <v>73</v>
      </c>
      <c r="L31" s="1" t="s">
        <v>74</v>
      </c>
      <c r="M31" s="1" t="s">
        <v>51</v>
      </c>
      <c r="N31" s="1">
        <f t="shared" si="3"/>
        <v>7</v>
      </c>
    </row>
    <row r="32">
      <c r="A32" s="1" t="s">
        <v>13</v>
      </c>
      <c r="B32" s="1" t="str">
        <f t="shared" si="2"/>
        <v xml:space="preserve">05 Other Income</v>
      </c>
      <c r="C32" s="1" t="s">
        <v>23</v>
      </c>
      <c r="D32" s="1" t="s">
        <v>75</v>
      </c>
      <c r="E32" s="1" t="s">
        <v>16</v>
      </c>
      <c r="F32" s="1" t="s">
        <v>17</v>
      </c>
      <c r="G32" s="1" t="s">
        <v>76</v>
      </c>
      <c r="H32" s="1" t="s">
        <v>17</v>
      </c>
      <c r="I32" s="1" t="s">
        <v>76</v>
      </c>
      <c r="J32" s="1" t="s">
        <v>73</v>
      </c>
      <c r="K32" s="1" t="s">
        <v>73</v>
      </c>
      <c r="L32" s="1" t="s">
        <v>73</v>
      </c>
      <c r="M32" s="1" t="s">
        <v>76</v>
      </c>
      <c r="N32" s="1">
        <f t="shared" si="3"/>
        <v>7</v>
      </c>
    </row>
    <row r="33">
      <c r="A33" s="1" t="s">
        <v>13</v>
      </c>
      <c r="B33" s="1" t="str">
        <f t="shared" si="2"/>
        <v xml:space="preserve">05 Other Income</v>
      </c>
      <c r="C33" s="1" t="s">
        <v>23</v>
      </c>
      <c r="D33" s="1" t="s">
        <v>77</v>
      </c>
      <c r="E33" s="1" t="s">
        <v>16</v>
      </c>
      <c r="F33" s="1" t="s">
        <v>17</v>
      </c>
      <c r="G33" s="1" t="s">
        <v>76</v>
      </c>
      <c r="H33" s="1" t="s">
        <v>17</v>
      </c>
      <c r="I33" s="1" t="s">
        <v>76</v>
      </c>
      <c r="J33" s="1" t="s">
        <v>73</v>
      </c>
      <c r="K33" s="1" t="s">
        <v>73</v>
      </c>
      <c r="L33" s="1" t="s">
        <v>73</v>
      </c>
      <c r="M33" s="1" t="s">
        <v>76</v>
      </c>
      <c r="N33" s="1">
        <f t="shared" si="3"/>
        <v>7</v>
      </c>
    </row>
    <row r="34">
      <c r="A34" s="1" t="s">
        <v>13</v>
      </c>
      <c r="B34" s="1" t="str">
        <f t="shared" si="2"/>
        <v xml:space="preserve">05 Other Income</v>
      </c>
      <c r="C34" s="1" t="s">
        <v>23</v>
      </c>
      <c r="D34" s="1" t="s">
        <v>78</v>
      </c>
      <c r="E34" s="1" t="s">
        <v>16</v>
      </c>
      <c r="F34" s="1" t="s">
        <v>17</v>
      </c>
      <c r="G34" s="1" t="s">
        <v>76</v>
      </c>
      <c r="H34" s="1" t="s">
        <v>17</v>
      </c>
      <c r="I34" s="1" t="s">
        <v>76</v>
      </c>
      <c r="J34" s="1" t="s">
        <v>73</v>
      </c>
      <c r="K34" s="1" t="s">
        <v>73</v>
      </c>
      <c r="L34" s="1" t="s">
        <v>73</v>
      </c>
      <c r="M34" s="1" t="s">
        <v>76</v>
      </c>
      <c r="N34" s="1">
        <f t="shared" si="3"/>
        <v>7</v>
      </c>
    </row>
    <row r="35">
      <c r="A35" s="1" t="s">
        <v>13</v>
      </c>
      <c r="B35" s="1" t="str">
        <f t="shared" si="2"/>
        <v xml:space="preserve">05 Other Income</v>
      </c>
      <c r="C35" s="1" t="s">
        <v>23</v>
      </c>
      <c r="D35" s="4" t="s">
        <v>79</v>
      </c>
      <c r="E35" s="4" t="s">
        <v>25</v>
      </c>
      <c r="F35" s="1" t="s">
        <v>17</v>
      </c>
      <c r="G35" s="1" t="s">
        <v>76</v>
      </c>
      <c r="H35" s="1" t="s">
        <v>17</v>
      </c>
      <c r="I35" s="1" t="s">
        <v>76</v>
      </c>
      <c r="J35" s="1" t="s">
        <v>73</v>
      </c>
      <c r="K35" s="1" t="s">
        <v>73</v>
      </c>
      <c r="L35" s="1" t="s">
        <v>73</v>
      </c>
      <c r="M35" s="1" t="s">
        <v>76</v>
      </c>
      <c r="N35" s="1">
        <f t="shared" si="3"/>
        <v>7</v>
      </c>
    </row>
    <row r="36">
      <c r="A36" s="1" t="s">
        <v>13</v>
      </c>
      <c r="B36" s="1" t="str">
        <f t="shared" si="2"/>
        <v xml:space="preserve">05 Other Income</v>
      </c>
      <c r="C36" s="1" t="s">
        <v>23</v>
      </c>
      <c r="D36" s="1" t="s">
        <v>80</v>
      </c>
      <c r="E36" s="1" t="s">
        <v>81</v>
      </c>
      <c r="F36" s="1" t="s">
        <v>17</v>
      </c>
      <c r="G36" s="1" t="s">
        <v>76</v>
      </c>
      <c r="H36" s="1" t="s">
        <v>17</v>
      </c>
      <c r="I36" s="1" t="s">
        <v>76</v>
      </c>
      <c r="J36" s="1" t="s">
        <v>73</v>
      </c>
      <c r="K36" s="1" t="s">
        <v>73</v>
      </c>
      <c r="L36" s="1" t="s">
        <v>73</v>
      </c>
      <c r="M36" s="1" t="s">
        <v>76</v>
      </c>
      <c r="N36" s="1">
        <f t="shared" si="3"/>
        <v>7</v>
      </c>
    </row>
    <row r="37">
      <c r="A37" s="1" t="s">
        <v>13</v>
      </c>
      <c r="B37" s="1" t="str">
        <f t="shared" si="2"/>
        <v xml:space="preserve">05 Other Income</v>
      </c>
      <c r="C37" s="1" t="s">
        <v>23</v>
      </c>
      <c r="D37" t="s">
        <v>82</v>
      </c>
      <c r="E37" t="s">
        <v>25</v>
      </c>
      <c r="F37" s="1" t="s">
        <v>17</v>
      </c>
      <c r="G37" s="1" t="s">
        <v>76</v>
      </c>
      <c r="H37" s="1" t="s">
        <v>17</v>
      </c>
      <c r="I37" s="1" t="s">
        <v>76</v>
      </c>
      <c r="J37" s="1" t="s">
        <v>73</v>
      </c>
      <c r="K37" s="1" t="s">
        <v>73</v>
      </c>
      <c r="L37" s="1" t="s">
        <v>73</v>
      </c>
      <c r="M37" s="1" t="s">
        <v>76</v>
      </c>
      <c r="N37" s="1">
        <f t="shared" si="3"/>
        <v>7</v>
      </c>
    </row>
    <row r="38">
      <c r="A38" s="1" t="s">
        <v>13</v>
      </c>
      <c r="B38" s="1" t="str">
        <f t="shared" si="2"/>
        <v xml:space="preserve">05 Other Income</v>
      </c>
      <c r="C38" s="1" t="s">
        <v>23</v>
      </c>
      <c r="D38" s="1" t="s">
        <v>83</v>
      </c>
      <c r="E38" s="1" t="s">
        <v>16</v>
      </c>
      <c r="F38" s="1" t="s">
        <v>17</v>
      </c>
      <c r="G38" s="1" t="s">
        <v>76</v>
      </c>
      <c r="H38" s="1" t="s">
        <v>17</v>
      </c>
      <c r="I38" s="1" t="s">
        <v>76</v>
      </c>
      <c r="J38" s="1" t="s">
        <v>73</v>
      </c>
      <c r="K38" s="1" t="s">
        <v>73</v>
      </c>
      <c r="L38" s="1" t="s">
        <v>73</v>
      </c>
      <c r="M38" s="1" t="s">
        <v>76</v>
      </c>
      <c r="N38" s="1">
        <f t="shared" si="3"/>
        <v>7</v>
      </c>
    </row>
    <row r="39">
      <c r="A39" s="1" t="s">
        <v>13</v>
      </c>
      <c r="B39" s="1" t="str">
        <f t="shared" si="2"/>
        <v xml:space="preserve">06 Designated</v>
      </c>
      <c r="C39" s="1" t="s">
        <v>23</v>
      </c>
      <c r="D39" s="1" t="s">
        <v>84</v>
      </c>
      <c r="E39" s="1" t="s">
        <v>25</v>
      </c>
      <c r="F39" s="1" t="s">
        <v>46</v>
      </c>
      <c r="G39" s="1" t="s">
        <v>76</v>
      </c>
      <c r="H39" s="1" t="s">
        <v>46</v>
      </c>
      <c r="I39" s="1" t="s">
        <v>76</v>
      </c>
      <c r="J39" s="1" t="s">
        <v>85</v>
      </c>
      <c r="K39" s="1" t="s">
        <v>85</v>
      </c>
      <c r="L39" s="1" t="s">
        <v>46</v>
      </c>
      <c r="M39" s="1" t="s">
        <v>76</v>
      </c>
      <c r="N39" s="1">
        <f t="shared" si="3"/>
        <v>8</v>
      </c>
    </row>
    <row r="40">
      <c r="A40" s="1" t="s">
        <v>86</v>
      </c>
      <c r="B40" s="1" t="str">
        <f t="shared" si="2"/>
        <v xml:space="preserve">07 Worship &amp; Arts</v>
      </c>
      <c r="C40" s="1" t="s">
        <v>23</v>
      </c>
      <c r="D40" s="1" t="s">
        <v>87</v>
      </c>
      <c r="E40" s="7" t="s">
        <v>58</v>
      </c>
      <c r="F40" s="1" t="s">
        <v>59</v>
      </c>
      <c r="G40" s="1" t="s">
        <v>88</v>
      </c>
      <c r="H40" s="1" t="s">
        <v>59</v>
      </c>
      <c r="I40" s="1" t="s">
        <v>88</v>
      </c>
      <c r="J40" s="1" t="s">
        <v>89</v>
      </c>
      <c r="K40" s="1" t="s">
        <v>89</v>
      </c>
      <c r="L40" s="1" t="s">
        <v>90</v>
      </c>
      <c r="M40" s="1" t="s">
        <v>91</v>
      </c>
      <c r="N40" s="1">
        <f t="shared" si="3"/>
        <v>9</v>
      </c>
    </row>
    <row r="41">
      <c r="A41" s="1" t="s">
        <v>86</v>
      </c>
      <c r="B41" s="1" t="str">
        <f t="shared" si="2"/>
        <v xml:space="preserve">07 Worship &amp; Arts</v>
      </c>
      <c r="C41" s="1" t="s">
        <v>23</v>
      </c>
      <c r="D41" s="1" t="s">
        <v>92</v>
      </c>
      <c r="E41" s="7" t="s">
        <v>58</v>
      </c>
      <c r="F41" s="1" t="s">
        <v>59</v>
      </c>
      <c r="G41" s="1" t="s">
        <v>88</v>
      </c>
      <c r="H41" s="1" t="s">
        <v>59</v>
      </c>
      <c r="I41" s="1" t="s">
        <v>88</v>
      </c>
      <c r="J41" s="1" t="s">
        <v>89</v>
      </c>
      <c r="K41" s="1" t="s">
        <v>89</v>
      </c>
      <c r="L41" s="1" t="s">
        <v>93</v>
      </c>
      <c r="M41" s="1" t="s">
        <v>91</v>
      </c>
      <c r="N41" s="1">
        <f t="shared" si="3"/>
        <v>9</v>
      </c>
    </row>
    <row r="42">
      <c r="A42" s="1" t="s">
        <v>86</v>
      </c>
      <c r="B42" s="1" t="str">
        <f t="shared" si="2"/>
        <v xml:space="preserve">07 Worship &amp; Arts</v>
      </c>
      <c r="C42" s="1" t="s">
        <v>23</v>
      </c>
      <c r="D42" s="1" t="s">
        <v>94</v>
      </c>
      <c r="E42" s="1" t="s">
        <v>16</v>
      </c>
      <c r="F42" s="1" t="s">
        <v>17</v>
      </c>
      <c r="G42" s="1" t="s">
        <v>95</v>
      </c>
      <c r="H42" s="1" t="s">
        <v>17</v>
      </c>
      <c r="I42" s="1" t="s">
        <v>96</v>
      </c>
      <c r="J42" s="1" t="s">
        <v>89</v>
      </c>
      <c r="K42" s="1" t="s">
        <v>89</v>
      </c>
      <c r="L42" s="1" t="s">
        <v>97</v>
      </c>
      <c r="M42" s="1" t="s">
        <v>17</v>
      </c>
      <c r="N42" s="1">
        <f t="shared" si="3"/>
        <v>9</v>
      </c>
    </row>
    <row r="43">
      <c r="A43" s="1" t="s">
        <v>86</v>
      </c>
      <c r="B43" s="1" t="str">
        <f t="shared" si="2"/>
        <v xml:space="preserve">07 Worship &amp; Arts</v>
      </c>
      <c r="C43" s="1" t="s">
        <v>23</v>
      </c>
      <c r="D43" s="1" t="s">
        <v>98</v>
      </c>
      <c r="E43" s="1" t="s">
        <v>16</v>
      </c>
      <c r="F43" s="1" t="s">
        <v>17</v>
      </c>
      <c r="G43" s="1" t="s">
        <v>95</v>
      </c>
      <c r="H43" s="1" t="s">
        <v>17</v>
      </c>
      <c r="I43" s="1" t="s">
        <v>96</v>
      </c>
      <c r="J43" s="1" t="s">
        <v>89</v>
      </c>
      <c r="K43" s="1" t="s">
        <v>89</v>
      </c>
      <c r="L43" s="1" t="s">
        <v>97</v>
      </c>
      <c r="M43" s="1" t="s">
        <v>17</v>
      </c>
      <c r="N43" s="1">
        <f t="shared" si="3"/>
        <v>9</v>
      </c>
    </row>
    <row r="44">
      <c r="A44" s="1" t="s">
        <v>86</v>
      </c>
      <c r="B44" s="1" t="str">
        <f t="shared" si="2"/>
        <v xml:space="preserve">07 Worship &amp; Arts</v>
      </c>
      <c r="C44" s="1" t="s">
        <v>23</v>
      </c>
      <c r="D44" s="1" t="s">
        <v>99</v>
      </c>
      <c r="E44" s="1" t="s">
        <v>16</v>
      </c>
      <c r="F44" s="1" t="s">
        <v>17</v>
      </c>
      <c r="G44" s="1" t="s">
        <v>95</v>
      </c>
      <c r="H44" s="1" t="s">
        <v>17</v>
      </c>
      <c r="I44" s="1" t="s">
        <v>96</v>
      </c>
      <c r="J44" s="1" t="s">
        <v>89</v>
      </c>
      <c r="K44" s="1" t="s">
        <v>89</v>
      </c>
      <c r="L44" s="1" t="s">
        <v>97</v>
      </c>
      <c r="M44" s="1" t="s">
        <v>17</v>
      </c>
      <c r="N44" s="1">
        <f t="shared" si="3"/>
        <v>9</v>
      </c>
    </row>
    <row r="45">
      <c r="A45" s="1" t="s">
        <v>86</v>
      </c>
      <c r="B45" s="1" t="str">
        <f t="shared" si="2"/>
        <v xml:space="preserve">07 Worship &amp; Arts</v>
      </c>
      <c r="C45" s="1" t="s">
        <v>23</v>
      </c>
      <c r="D45" s="1" t="s">
        <v>100</v>
      </c>
      <c r="E45" s="7" t="s">
        <v>58</v>
      </c>
      <c r="F45" s="1" t="s">
        <v>59</v>
      </c>
      <c r="G45" s="1" t="s">
        <v>95</v>
      </c>
      <c r="H45" s="1" t="s">
        <v>59</v>
      </c>
      <c r="I45" s="1" t="s">
        <v>101</v>
      </c>
      <c r="J45" s="1" t="s">
        <v>89</v>
      </c>
      <c r="K45" s="1" t="s">
        <v>89</v>
      </c>
      <c r="L45" s="1" t="s">
        <v>97</v>
      </c>
      <c r="M45" s="1" t="s">
        <v>91</v>
      </c>
      <c r="N45" s="1">
        <f t="shared" si="3"/>
        <v>9</v>
      </c>
    </row>
    <row r="46">
      <c r="A46" s="1" t="s">
        <v>86</v>
      </c>
      <c r="B46" s="1" t="str">
        <f t="shared" si="2"/>
        <v xml:space="preserve">07 Worship &amp; Arts</v>
      </c>
      <c r="C46" s="1" t="s">
        <v>23</v>
      </c>
      <c r="D46" s="1" t="s">
        <v>102</v>
      </c>
      <c r="E46" s="7" t="s">
        <v>58</v>
      </c>
      <c r="F46" s="1" t="s">
        <v>59</v>
      </c>
      <c r="G46" s="1" t="s">
        <v>95</v>
      </c>
      <c r="H46" s="1" t="s">
        <v>59</v>
      </c>
      <c r="I46" s="1" t="s">
        <v>101</v>
      </c>
      <c r="J46" s="1" t="s">
        <v>89</v>
      </c>
      <c r="K46" s="1" t="s">
        <v>89</v>
      </c>
      <c r="L46" s="1" t="s">
        <v>97</v>
      </c>
      <c r="M46" s="1" t="s">
        <v>91</v>
      </c>
      <c r="N46" s="1">
        <f t="shared" si="3"/>
        <v>9</v>
      </c>
    </row>
    <row r="47">
      <c r="A47" s="1" t="s">
        <v>86</v>
      </c>
      <c r="B47" s="1" t="str">
        <f t="shared" si="2"/>
        <v xml:space="preserve">07 Worship &amp; Arts</v>
      </c>
      <c r="C47" s="1" t="s">
        <v>23</v>
      </c>
      <c r="D47" s="1" t="s">
        <v>103</v>
      </c>
      <c r="E47" s="7" t="s">
        <v>58</v>
      </c>
      <c r="F47" s="1" t="s">
        <v>59</v>
      </c>
      <c r="G47" s="1" t="s">
        <v>95</v>
      </c>
      <c r="H47" s="1" t="s">
        <v>59</v>
      </c>
      <c r="I47" s="1" t="s">
        <v>101</v>
      </c>
      <c r="J47" s="1" t="s">
        <v>89</v>
      </c>
      <c r="K47" s="1" t="s">
        <v>89</v>
      </c>
      <c r="L47" s="1" t="s">
        <v>97</v>
      </c>
      <c r="M47" s="1" t="s">
        <v>91</v>
      </c>
      <c r="N47" s="1">
        <f t="shared" si="3"/>
        <v>9</v>
      </c>
    </row>
    <row r="48">
      <c r="A48" s="1" t="s">
        <v>86</v>
      </c>
      <c r="B48" s="1" t="str">
        <f t="shared" si="2"/>
        <v xml:space="preserve">07 Worship &amp; Arts</v>
      </c>
      <c r="C48" s="1" t="s">
        <v>23</v>
      </c>
      <c r="D48" s="1" t="s">
        <v>104</v>
      </c>
      <c r="E48" s="1" t="s">
        <v>16</v>
      </c>
      <c r="F48" s="1" t="s">
        <v>17</v>
      </c>
      <c r="G48" s="1" t="s">
        <v>95</v>
      </c>
      <c r="H48" s="1" t="s">
        <v>17</v>
      </c>
      <c r="I48" s="1" t="s">
        <v>96</v>
      </c>
      <c r="J48" s="1" t="s">
        <v>89</v>
      </c>
      <c r="K48" s="1" t="s">
        <v>89</v>
      </c>
      <c r="L48" s="1" t="s">
        <v>97</v>
      </c>
      <c r="M48" s="1" t="s">
        <v>17</v>
      </c>
      <c r="N48" s="1">
        <f t="shared" si="3"/>
        <v>9</v>
      </c>
    </row>
    <row r="49">
      <c r="A49" s="1" t="s">
        <v>86</v>
      </c>
      <c r="B49" s="1" t="str">
        <f t="shared" si="2"/>
        <v xml:space="preserve">07 Worship &amp; Arts</v>
      </c>
      <c r="C49" s="1" t="s">
        <v>23</v>
      </c>
      <c r="D49" s="1" t="s">
        <v>105</v>
      </c>
      <c r="E49" s="7" t="s">
        <v>58</v>
      </c>
      <c r="F49" s="1" t="s">
        <v>59</v>
      </c>
      <c r="G49" s="1" t="s">
        <v>95</v>
      </c>
      <c r="H49" s="1" t="s">
        <v>59</v>
      </c>
      <c r="I49" s="1" t="s">
        <v>101</v>
      </c>
      <c r="J49" s="1" t="s">
        <v>89</v>
      </c>
      <c r="K49" s="1" t="s">
        <v>89</v>
      </c>
      <c r="L49" s="1" t="s">
        <v>97</v>
      </c>
      <c r="M49" s="1" t="s">
        <v>91</v>
      </c>
      <c r="N49" s="1">
        <f t="shared" si="3"/>
        <v>9</v>
      </c>
    </row>
    <row r="50">
      <c r="A50" s="1" t="s">
        <v>86</v>
      </c>
      <c r="B50" s="1" t="str">
        <f t="shared" si="2"/>
        <v xml:space="preserve">07 Worship &amp; Arts</v>
      </c>
      <c r="C50" s="1" t="s">
        <v>23</v>
      </c>
      <c r="D50" s="1" t="s">
        <v>106</v>
      </c>
      <c r="E50" s="1" t="s">
        <v>16</v>
      </c>
      <c r="F50" s="1" t="s">
        <v>17</v>
      </c>
      <c r="G50" s="1" t="s">
        <v>95</v>
      </c>
      <c r="H50" s="1" t="s">
        <v>17</v>
      </c>
      <c r="I50" s="1" t="s">
        <v>96</v>
      </c>
      <c r="J50" s="1" t="s">
        <v>89</v>
      </c>
      <c r="K50" s="1" t="s">
        <v>89</v>
      </c>
      <c r="L50" s="1" t="s">
        <v>97</v>
      </c>
      <c r="M50" s="1" t="s">
        <v>17</v>
      </c>
      <c r="N50" s="1">
        <f t="shared" si="3"/>
        <v>9</v>
      </c>
    </row>
    <row r="51">
      <c r="A51" s="1" t="s">
        <v>86</v>
      </c>
      <c r="B51" s="1" t="str">
        <f t="shared" si="2"/>
        <v xml:space="preserve">07 Worship &amp; Arts</v>
      </c>
      <c r="C51" s="1" t="s">
        <v>23</v>
      </c>
      <c r="D51" s="1" t="s">
        <v>107</v>
      </c>
      <c r="E51" s="1" t="s">
        <v>16</v>
      </c>
      <c r="F51" s="1" t="s">
        <v>17</v>
      </c>
      <c r="G51" s="1" t="s">
        <v>95</v>
      </c>
      <c r="H51" s="1" t="s">
        <v>17</v>
      </c>
      <c r="I51" s="1" t="s">
        <v>96</v>
      </c>
      <c r="J51" s="1" t="s">
        <v>89</v>
      </c>
      <c r="K51" s="1" t="s">
        <v>89</v>
      </c>
      <c r="L51" s="1" t="s">
        <v>97</v>
      </c>
      <c r="M51" s="1" t="s">
        <v>17</v>
      </c>
      <c r="N51" s="1">
        <f t="shared" si="3"/>
        <v>9</v>
      </c>
    </row>
    <row r="52">
      <c r="A52" s="1" t="s">
        <v>86</v>
      </c>
      <c r="B52" s="1" t="str">
        <f t="shared" si="2"/>
        <v xml:space="preserve">07 Worship &amp; Arts</v>
      </c>
      <c r="C52" s="1" t="s">
        <v>23</v>
      </c>
      <c r="D52" s="1" t="s">
        <v>108</v>
      </c>
      <c r="E52" s="7" t="s">
        <v>58</v>
      </c>
      <c r="F52" s="1" t="s">
        <v>59</v>
      </c>
      <c r="G52" s="1" t="s">
        <v>95</v>
      </c>
      <c r="H52" s="1" t="s">
        <v>59</v>
      </c>
      <c r="I52" s="1" t="s">
        <v>101</v>
      </c>
      <c r="J52" s="1" t="s">
        <v>89</v>
      </c>
      <c r="K52" s="1" t="s">
        <v>89</v>
      </c>
      <c r="L52" s="1" t="s">
        <v>97</v>
      </c>
      <c r="M52" s="1" t="s">
        <v>91</v>
      </c>
      <c r="N52" s="1">
        <f t="shared" si="3"/>
        <v>9</v>
      </c>
    </row>
    <row r="53">
      <c r="A53" s="1" t="s">
        <v>86</v>
      </c>
      <c r="B53" s="1" t="str">
        <f t="shared" si="2"/>
        <v xml:space="preserve">07 Worship &amp; Arts</v>
      </c>
      <c r="C53" s="1" t="s">
        <v>23</v>
      </c>
      <c r="D53" s="1" t="s">
        <v>109</v>
      </c>
      <c r="E53" s="7" t="s">
        <v>58</v>
      </c>
      <c r="F53" s="1" t="s">
        <v>59</v>
      </c>
      <c r="G53" s="1" t="s">
        <v>95</v>
      </c>
      <c r="H53" s="1" t="s">
        <v>59</v>
      </c>
      <c r="I53" s="1" t="s">
        <v>101</v>
      </c>
      <c r="J53" s="1" t="s">
        <v>89</v>
      </c>
      <c r="K53" s="1" t="s">
        <v>89</v>
      </c>
      <c r="L53" s="1" t="s">
        <v>97</v>
      </c>
      <c r="M53" s="1" t="s">
        <v>91</v>
      </c>
      <c r="N53" s="1">
        <f t="shared" si="3"/>
        <v>9</v>
      </c>
    </row>
    <row r="54">
      <c r="A54" s="1" t="s">
        <v>86</v>
      </c>
      <c r="B54" s="1" t="str">
        <f t="shared" si="2"/>
        <v xml:space="preserve">07 Worship &amp; Arts</v>
      </c>
      <c r="C54" s="1" t="s">
        <v>23</v>
      </c>
      <c r="D54" s="1" t="s">
        <v>110</v>
      </c>
      <c r="E54" s="1" t="s">
        <v>16</v>
      </c>
      <c r="F54" s="1" t="s">
        <v>17</v>
      </c>
      <c r="G54" s="1" t="s">
        <v>95</v>
      </c>
      <c r="H54" s="1" t="s">
        <v>17</v>
      </c>
      <c r="I54" s="1" t="s">
        <v>96</v>
      </c>
      <c r="J54" s="1" t="s">
        <v>89</v>
      </c>
      <c r="K54" s="1" t="s">
        <v>89</v>
      </c>
      <c r="L54" s="1" t="s">
        <v>97</v>
      </c>
      <c r="M54" s="1" t="s">
        <v>17</v>
      </c>
      <c r="N54" s="1">
        <f t="shared" si="3"/>
        <v>9</v>
      </c>
    </row>
    <row r="55">
      <c r="A55" s="1" t="s">
        <v>86</v>
      </c>
      <c r="B55" s="1" t="str">
        <f t="shared" si="2"/>
        <v xml:space="preserve">07 Worship &amp; Arts</v>
      </c>
      <c r="C55" s="1" t="s">
        <v>23</v>
      </c>
      <c r="D55" s="1" t="s">
        <v>111</v>
      </c>
      <c r="E55" s="7" t="s">
        <v>58</v>
      </c>
      <c r="F55" s="1" t="s">
        <v>59</v>
      </c>
      <c r="G55" s="1" t="s">
        <v>95</v>
      </c>
      <c r="H55" s="1" t="s">
        <v>59</v>
      </c>
      <c r="I55" s="1" t="s">
        <v>101</v>
      </c>
      <c r="J55" s="1" t="s">
        <v>89</v>
      </c>
      <c r="K55" s="1" t="s">
        <v>89</v>
      </c>
      <c r="L55" s="1" t="s">
        <v>97</v>
      </c>
      <c r="M55" s="1" t="s">
        <v>91</v>
      </c>
      <c r="N55" s="1">
        <f t="shared" si="3"/>
        <v>9</v>
      </c>
    </row>
    <row r="56">
      <c r="A56" s="1" t="s">
        <v>86</v>
      </c>
      <c r="B56" s="1" t="str">
        <f t="shared" si="2"/>
        <v xml:space="preserve">07 Worship &amp; Arts</v>
      </c>
      <c r="C56" s="1" t="s">
        <v>23</v>
      </c>
      <c r="D56" s="1" t="s">
        <v>112</v>
      </c>
      <c r="E56" s="1" t="s">
        <v>16</v>
      </c>
      <c r="F56" s="1" t="s">
        <v>17</v>
      </c>
      <c r="G56" s="1" t="s">
        <v>95</v>
      </c>
      <c r="H56" s="1" t="s">
        <v>17</v>
      </c>
      <c r="I56" s="1" t="s">
        <v>96</v>
      </c>
      <c r="J56" s="1" t="s">
        <v>89</v>
      </c>
      <c r="K56" s="1" t="s">
        <v>89</v>
      </c>
      <c r="L56" s="1" t="s">
        <v>97</v>
      </c>
      <c r="M56" s="1" t="s">
        <v>17</v>
      </c>
      <c r="N56" s="1">
        <f t="shared" si="3"/>
        <v>9</v>
      </c>
    </row>
    <row r="57">
      <c r="A57" s="1" t="s">
        <v>86</v>
      </c>
      <c r="B57" s="1" t="str">
        <f t="shared" si="2"/>
        <v xml:space="preserve">07 Worship &amp; Arts</v>
      </c>
      <c r="C57" s="1" t="s">
        <v>23</v>
      </c>
      <c r="D57" s="1" t="s">
        <v>113</v>
      </c>
      <c r="E57" t="s">
        <v>25</v>
      </c>
      <c r="F57" s="1" t="s">
        <v>59</v>
      </c>
      <c r="G57" s="1" t="s">
        <v>95</v>
      </c>
      <c r="H57" s="1" t="s">
        <v>114</v>
      </c>
      <c r="I57" s="1" t="s">
        <v>101</v>
      </c>
      <c r="J57" s="1" t="s">
        <v>89</v>
      </c>
      <c r="K57" s="1" t="s">
        <v>89</v>
      </c>
      <c r="L57" s="1" t="s">
        <v>97</v>
      </c>
      <c r="M57" s="1" t="s">
        <v>91</v>
      </c>
      <c r="N57" s="1">
        <f t="shared" si="3"/>
        <v>9</v>
      </c>
    </row>
    <row r="58">
      <c r="A58" s="1" t="s">
        <v>86</v>
      </c>
      <c r="B58" s="1" t="str">
        <f t="shared" si="2"/>
        <v xml:space="preserve">07 Worship &amp; Arts</v>
      </c>
      <c r="C58" s="1" t="s">
        <v>23</v>
      </c>
      <c r="D58" t="s">
        <v>115</v>
      </c>
      <c r="E58" t="s">
        <v>25</v>
      </c>
      <c r="F58" s="1" t="s">
        <v>17</v>
      </c>
      <c r="G58" s="1" t="s">
        <v>95</v>
      </c>
      <c r="H58" s="1" t="s">
        <v>17</v>
      </c>
      <c r="I58" s="1" t="s">
        <v>96</v>
      </c>
      <c r="J58" s="1" t="s">
        <v>89</v>
      </c>
      <c r="K58" s="1" t="s">
        <v>89</v>
      </c>
      <c r="L58" s="1" t="s">
        <v>97</v>
      </c>
      <c r="M58" s="1" t="s">
        <v>17</v>
      </c>
      <c r="N58" s="1">
        <f t="shared" si="3"/>
        <v>9</v>
      </c>
    </row>
    <row r="59">
      <c r="A59" s="1" t="s">
        <v>86</v>
      </c>
      <c r="B59" s="1" t="str">
        <f t="shared" si="2"/>
        <v xml:space="preserve">07 Worship &amp; Arts</v>
      </c>
      <c r="C59" s="1" t="s">
        <v>23</v>
      </c>
      <c r="D59" s="1" t="s">
        <v>116</v>
      </c>
      <c r="E59" s="1" t="s">
        <v>16</v>
      </c>
      <c r="F59" s="1" t="s">
        <v>17</v>
      </c>
      <c r="G59" s="1" t="s">
        <v>95</v>
      </c>
      <c r="H59" s="1" t="s">
        <v>17</v>
      </c>
      <c r="I59" s="1" t="s">
        <v>96</v>
      </c>
      <c r="J59" s="1" t="s">
        <v>89</v>
      </c>
      <c r="K59" s="1" t="s">
        <v>89</v>
      </c>
      <c r="L59" s="1" t="s">
        <v>97</v>
      </c>
      <c r="M59" s="1" t="s">
        <v>17</v>
      </c>
      <c r="N59" s="1">
        <f t="shared" si="3"/>
        <v>9</v>
      </c>
    </row>
    <row r="60">
      <c r="A60" s="1" t="s">
        <v>86</v>
      </c>
      <c r="B60" s="1" t="str">
        <f t="shared" si="2"/>
        <v xml:space="preserve">07 Worship &amp; Arts</v>
      </c>
      <c r="C60" s="1" t="s">
        <v>23</v>
      </c>
      <c r="D60" s="1" t="s">
        <v>117</v>
      </c>
      <c r="E60" s="1" t="s">
        <v>16</v>
      </c>
      <c r="F60" s="1" t="s">
        <v>17</v>
      </c>
      <c r="G60" s="1" t="s">
        <v>95</v>
      </c>
      <c r="H60" s="1" t="s">
        <v>17</v>
      </c>
      <c r="I60" s="1" t="s">
        <v>96</v>
      </c>
      <c r="J60" s="1" t="s">
        <v>89</v>
      </c>
      <c r="K60" s="1" t="s">
        <v>89</v>
      </c>
      <c r="L60" s="1" t="s">
        <v>97</v>
      </c>
      <c r="M60" s="1" t="s">
        <v>17</v>
      </c>
      <c r="N60" s="1">
        <f t="shared" si="3"/>
        <v>9</v>
      </c>
    </row>
    <row r="61">
      <c r="A61" s="1" t="s">
        <v>86</v>
      </c>
      <c r="B61" s="1" t="str">
        <f t="shared" si="2"/>
        <v xml:space="preserve">07 Worship &amp; Arts</v>
      </c>
      <c r="C61" s="1" t="s">
        <v>23</v>
      </c>
      <c r="D61" s="9" t="s">
        <v>118</v>
      </c>
      <c r="E61" s="7" t="s">
        <v>58</v>
      </c>
      <c r="F61" s="1" t="s">
        <v>59</v>
      </c>
      <c r="G61" s="1" t="s">
        <v>95</v>
      </c>
      <c r="H61" s="1" t="s">
        <v>59</v>
      </c>
      <c r="I61" s="1" t="s">
        <v>101</v>
      </c>
      <c r="J61" s="1" t="s">
        <v>89</v>
      </c>
      <c r="K61" s="1" t="s">
        <v>89</v>
      </c>
      <c r="L61" s="1" t="s">
        <v>97</v>
      </c>
      <c r="M61" s="1" t="s">
        <v>91</v>
      </c>
      <c r="N61" s="1">
        <f t="shared" si="3"/>
        <v>9</v>
      </c>
    </row>
    <row r="62">
      <c r="A62" s="1" t="s">
        <v>86</v>
      </c>
      <c r="B62" s="1" t="str">
        <f t="shared" si="2"/>
        <v xml:space="preserve">07 Worship &amp; Arts</v>
      </c>
      <c r="C62" s="1" t="s">
        <v>23</v>
      </c>
      <c r="D62" s="1" t="s">
        <v>119</v>
      </c>
      <c r="E62" s="7" t="s">
        <v>58</v>
      </c>
      <c r="F62" s="1" t="s">
        <v>59</v>
      </c>
      <c r="G62" s="1" t="s">
        <v>95</v>
      </c>
      <c r="H62" s="1" t="s">
        <v>59</v>
      </c>
      <c r="I62" s="1" t="s">
        <v>101</v>
      </c>
      <c r="J62" s="1" t="s">
        <v>89</v>
      </c>
      <c r="K62" s="1" t="s">
        <v>89</v>
      </c>
      <c r="L62" s="1" t="s">
        <v>97</v>
      </c>
      <c r="M62" s="1" t="s">
        <v>91</v>
      </c>
      <c r="N62" s="1">
        <f t="shared" si="3"/>
        <v>9</v>
      </c>
    </row>
    <row r="63">
      <c r="A63" s="1" t="s">
        <v>86</v>
      </c>
      <c r="B63" s="1" t="str">
        <f t="shared" si="2"/>
        <v xml:space="preserve">07 Worship &amp; Arts</v>
      </c>
      <c r="C63" s="1" t="s">
        <v>23</v>
      </c>
      <c r="D63" s="1" t="s">
        <v>120</v>
      </c>
      <c r="E63" s="7" t="s">
        <v>58</v>
      </c>
      <c r="F63" s="1" t="s">
        <v>59</v>
      </c>
      <c r="G63" s="1" t="s">
        <v>95</v>
      </c>
      <c r="H63" s="1" t="s">
        <v>59</v>
      </c>
      <c r="I63" s="1" t="s">
        <v>101</v>
      </c>
      <c r="J63" s="1" t="s">
        <v>89</v>
      </c>
      <c r="K63" s="1" t="s">
        <v>89</v>
      </c>
      <c r="L63" s="1" t="s">
        <v>97</v>
      </c>
      <c r="M63" s="1" t="s">
        <v>91</v>
      </c>
      <c r="N63" s="1">
        <f t="shared" si="3"/>
        <v>9</v>
      </c>
    </row>
    <row r="64">
      <c r="A64" s="1" t="s">
        <v>86</v>
      </c>
      <c r="B64" s="1" t="str">
        <f t="shared" si="2"/>
        <v xml:space="preserve">07 Worship &amp; Arts</v>
      </c>
      <c r="C64" s="1" t="s">
        <v>23</v>
      </c>
      <c r="D64" s="1" t="s">
        <v>121</v>
      </c>
      <c r="E64" s="1" t="s">
        <v>16</v>
      </c>
      <c r="F64" s="1" t="s">
        <v>17</v>
      </c>
      <c r="G64" s="1" t="s">
        <v>95</v>
      </c>
      <c r="H64" s="1" t="s">
        <v>17</v>
      </c>
      <c r="I64" s="1" t="s">
        <v>96</v>
      </c>
      <c r="J64" s="1" t="s">
        <v>89</v>
      </c>
      <c r="K64" s="1" t="s">
        <v>89</v>
      </c>
      <c r="L64" s="1" t="s">
        <v>97</v>
      </c>
      <c r="M64" s="1" t="s">
        <v>17</v>
      </c>
      <c r="N64" s="1">
        <f t="shared" si="3"/>
        <v>9</v>
      </c>
    </row>
    <row r="65">
      <c r="A65" s="1" t="s">
        <v>86</v>
      </c>
      <c r="B65" s="1" t="str">
        <f t="shared" si="2"/>
        <v xml:space="preserve">07 Worship &amp; Arts</v>
      </c>
      <c r="C65" s="1" t="s">
        <v>23</v>
      </c>
      <c r="D65" s="1" t="s">
        <v>122</v>
      </c>
      <c r="E65" s="1" t="s">
        <v>16</v>
      </c>
      <c r="F65" s="1" t="s">
        <v>17</v>
      </c>
      <c r="G65" s="1" t="s">
        <v>95</v>
      </c>
      <c r="H65" s="1" t="s">
        <v>17</v>
      </c>
      <c r="I65" s="1" t="s">
        <v>96</v>
      </c>
      <c r="J65" s="1" t="s">
        <v>89</v>
      </c>
      <c r="K65" s="1" t="s">
        <v>89</v>
      </c>
      <c r="L65" s="1" t="s">
        <v>97</v>
      </c>
      <c r="M65" s="1" t="s">
        <v>17</v>
      </c>
      <c r="N65" s="1">
        <f t="shared" si="3"/>
        <v>9</v>
      </c>
    </row>
    <row r="66">
      <c r="A66" s="1" t="s">
        <v>86</v>
      </c>
      <c r="B66" s="1" t="str">
        <f t="shared" si="2"/>
        <v xml:space="preserve">07 Worship &amp; Arts</v>
      </c>
      <c r="C66" s="1" t="s">
        <v>23</v>
      </c>
      <c r="D66" s="1" t="s">
        <v>123</v>
      </c>
      <c r="E66" s="1" t="s">
        <v>81</v>
      </c>
      <c r="F66" s="1" t="s">
        <v>17</v>
      </c>
      <c r="G66" s="1" t="s">
        <v>95</v>
      </c>
      <c r="H66" s="1" t="s">
        <v>17</v>
      </c>
      <c r="I66" s="1" t="s">
        <v>96</v>
      </c>
      <c r="J66" s="1" t="s">
        <v>89</v>
      </c>
      <c r="K66" s="1" t="s">
        <v>89</v>
      </c>
      <c r="L66" s="1" t="s">
        <v>97</v>
      </c>
      <c r="M66" s="1" t="s">
        <v>17</v>
      </c>
      <c r="N66" s="1">
        <f t="shared" si="3"/>
        <v>9</v>
      </c>
    </row>
    <row r="67">
      <c r="A67" s="1" t="s">
        <v>86</v>
      </c>
      <c r="B67" s="1" t="str">
        <f t="shared" si="2"/>
        <v xml:space="preserve">08 Youth Ed</v>
      </c>
      <c r="C67" s="1" t="s">
        <v>23</v>
      </c>
      <c r="D67" s="9" t="s">
        <v>124</v>
      </c>
      <c r="E67" s="1" t="s">
        <v>16</v>
      </c>
      <c r="F67" s="1" t="s">
        <v>17</v>
      </c>
      <c r="G67" s="1" t="s">
        <v>125</v>
      </c>
      <c r="H67" s="1" t="s">
        <v>17</v>
      </c>
      <c r="I67" s="1" t="s">
        <v>125</v>
      </c>
      <c r="J67" s="1" t="s">
        <v>126</v>
      </c>
      <c r="K67" s="1" t="s">
        <v>126</v>
      </c>
      <c r="L67" s="1" t="s">
        <v>127</v>
      </c>
      <c r="M67" s="1" t="s">
        <v>128</v>
      </c>
      <c r="N67" s="1">
        <f t="shared" si="3"/>
        <v>10</v>
      </c>
    </row>
    <row r="68">
      <c r="A68" s="1" t="s">
        <v>86</v>
      </c>
      <c r="B68" s="1" t="str">
        <f t="shared" si="2"/>
        <v xml:space="preserve">08 Youth Ed</v>
      </c>
      <c r="C68" s="1" t="s">
        <v>23</v>
      </c>
      <c r="D68" s="1" t="s">
        <v>129</v>
      </c>
      <c r="E68" s="1" t="s">
        <v>16</v>
      </c>
      <c r="F68" s="1" t="s">
        <v>17</v>
      </c>
      <c r="G68" s="1" t="s">
        <v>125</v>
      </c>
      <c r="H68" s="1" t="s">
        <v>17</v>
      </c>
      <c r="I68" s="1" t="s">
        <v>125</v>
      </c>
      <c r="J68" s="1" t="s">
        <v>126</v>
      </c>
      <c r="K68" s="1" t="s">
        <v>126</v>
      </c>
      <c r="L68" s="1" t="s">
        <v>127</v>
      </c>
      <c r="M68" s="1" t="s">
        <v>128</v>
      </c>
      <c r="N68" s="1">
        <f t="shared" si="3"/>
        <v>10</v>
      </c>
    </row>
    <row r="69">
      <c r="A69" s="1" t="s">
        <v>86</v>
      </c>
      <c r="B69" s="1" t="str">
        <f t="shared" si="2"/>
        <v xml:space="preserve">08 Youth Ed</v>
      </c>
      <c r="C69" s="1" t="s">
        <v>23</v>
      </c>
      <c r="D69" s="1" t="s">
        <v>130</v>
      </c>
      <c r="E69" s="1" t="s">
        <v>16</v>
      </c>
      <c r="F69" s="1" t="s">
        <v>17</v>
      </c>
      <c r="G69" s="1" t="s">
        <v>125</v>
      </c>
      <c r="H69" s="1" t="s">
        <v>17</v>
      </c>
      <c r="I69" s="1" t="s">
        <v>125</v>
      </c>
      <c r="J69" s="1" t="s">
        <v>126</v>
      </c>
      <c r="K69" s="1" t="s">
        <v>126</v>
      </c>
      <c r="L69" s="1" t="s">
        <v>127</v>
      </c>
      <c r="M69" s="1" t="s">
        <v>128</v>
      </c>
      <c r="N69" s="1">
        <f t="shared" si="3"/>
        <v>10</v>
      </c>
    </row>
    <row r="70">
      <c r="A70" s="1" t="s">
        <v>86</v>
      </c>
      <c r="B70" s="1" t="str">
        <f t="shared" si="2"/>
        <v xml:space="preserve">08 Youth Ed</v>
      </c>
      <c r="C70" s="1" t="s">
        <v>23</v>
      </c>
      <c r="D70" s="1" t="s">
        <v>131</v>
      </c>
      <c r="E70" s="1" t="s">
        <v>16</v>
      </c>
      <c r="F70" s="1" t="s">
        <v>17</v>
      </c>
      <c r="G70" s="1" t="s">
        <v>125</v>
      </c>
      <c r="H70" s="1" t="s">
        <v>17</v>
      </c>
      <c r="I70" s="1" t="s">
        <v>125</v>
      </c>
      <c r="J70" s="1" t="s">
        <v>126</v>
      </c>
      <c r="K70" s="1" t="s">
        <v>126</v>
      </c>
      <c r="L70" s="1" t="s">
        <v>127</v>
      </c>
      <c r="M70" s="1" t="s">
        <v>128</v>
      </c>
      <c r="N70" s="1">
        <f t="shared" si="3"/>
        <v>10</v>
      </c>
    </row>
    <row r="71">
      <c r="A71" s="1" t="s">
        <v>86</v>
      </c>
      <c r="B71" s="1" t="str">
        <f t="shared" si="2"/>
        <v xml:space="preserve">08 Youth Ed</v>
      </c>
      <c r="C71" s="1" t="s">
        <v>23</v>
      </c>
      <c r="D71" s="1" t="s">
        <v>132</v>
      </c>
      <c r="E71" s="1" t="s">
        <v>16</v>
      </c>
      <c r="F71" s="1" t="s">
        <v>17</v>
      </c>
      <c r="G71" s="1" t="s">
        <v>125</v>
      </c>
      <c r="H71" s="1" t="s">
        <v>17</v>
      </c>
      <c r="I71" s="1" t="s">
        <v>125</v>
      </c>
      <c r="J71" s="1" t="s">
        <v>126</v>
      </c>
      <c r="K71" s="1" t="s">
        <v>126</v>
      </c>
      <c r="L71" s="1" t="s">
        <v>127</v>
      </c>
      <c r="M71" s="1" t="s">
        <v>128</v>
      </c>
      <c r="N71" s="1">
        <f t="shared" si="3"/>
        <v>10</v>
      </c>
    </row>
    <row r="72">
      <c r="A72" s="1" t="s">
        <v>86</v>
      </c>
      <c r="B72" s="1" t="str">
        <f t="shared" si="2"/>
        <v xml:space="preserve">08 Youth Ed</v>
      </c>
      <c r="C72" s="1" t="s">
        <v>23</v>
      </c>
      <c r="D72" s="1" t="s">
        <v>133</v>
      </c>
      <c r="E72" s="1" t="s">
        <v>16</v>
      </c>
      <c r="F72" s="1" t="s">
        <v>17</v>
      </c>
      <c r="G72" s="1" t="s">
        <v>125</v>
      </c>
      <c r="H72" s="1" t="s">
        <v>17</v>
      </c>
      <c r="I72" s="1" t="s">
        <v>125</v>
      </c>
      <c r="J72" s="1" t="s">
        <v>126</v>
      </c>
      <c r="K72" s="1" t="s">
        <v>126</v>
      </c>
      <c r="L72" s="1" t="s">
        <v>127</v>
      </c>
      <c r="M72" s="1" t="s">
        <v>128</v>
      </c>
      <c r="N72" s="1">
        <f t="shared" si="3"/>
        <v>10</v>
      </c>
    </row>
    <row r="73">
      <c r="A73" s="1" t="s">
        <v>86</v>
      </c>
      <c r="B73" s="1" t="str">
        <f t="shared" si="2"/>
        <v xml:space="preserve">08 Youth Ed</v>
      </c>
      <c r="C73" s="1" t="s">
        <v>23</v>
      </c>
      <c r="D73" s="1" t="s">
        <v>134</v>
      </c>
      <c r="E73" s="1" t="s">
        <v>16</v>
      </c>
      <c r="F73" s="1" t="s">
        <v>17</v>
      </c>
      <c r="G73" s="1" t="s">
        <v>125</v>
      </c>
      <c r="H73" s="1" t="s">
        <v>17</v>
      </c>
      <c r="I73" s="1" t="s">
        <v>125</v>
      </c>
      <c r="J73" s="1" t="s">
        <v>126</v>
      </c>
      <c r="K73" s="1" t="s">
        <v>126</v>
      </c>
      <c r="L73" s="1" t="s">
        <v>127</v>
      </c>
      <c r="M73" s="1" t="s">
        <v>128</v>
      </c>
      <c r="N73" s="1">
        <f t="shared" si="3"/>
        <v>10</v>
      </c>
    </row>
    <row r="74">
      <c r="A74" s="1" t="s">
        <v>86</v>
      </c>
      <c r="B74" s="1" t="str">
        <f t="shared" ref="B74:B99" si="4">J74</f>
        <v xml:space="preserve">08 Youth Ed</v>
      </c>
      <c r="C74" s="1" t="s">
        <v>23</v>
      </c>
      <c r="D74" s="1" t="s">
        <v>135</v>
      </c>
      <c r="E74" s="7" t="s">
        <v>58</v>
      </c>
      <c r="F74" s="1" t="s">
        <v>17</v>
      </c>
      <c r="G74" s="1" t="s">
        <v>125</v>
      </c>
      <c r="H74" s="1" t="s">
        <v>17</v>
      </c>
      <c r="I74" s="1" t="s">
        <v>125</v>
      </c>
      <c r="J74" s="1" t="s">
        <v>126</v>
      </c>
      <c r="K74" s="1" t="s">
        <v>126</v>
      </c>
      <c r="L74" s="1" t="s">
        <v>127</v>
      </c>
      <c r="M74" s="1" t="s">
        <v>128</v>
      </c>
      <c r="N74" s="1">
        <f t="shared" si="3"/>
        <v>10</v>
      </c>
    </row>
    <row r="75">
      <c r="A75" s="1" t="s">
        <v>86</v>
      </c>
      <c r="B75" s="1" t="str">
        <f t="shared" si="4"/>
        <v xml:space="preserve">08 Youth Ed</v>
      </c>
      <c r="C75" s="1" t="s">
        <v>23</v>
      </c>
      <c r="D75" s="1" t="s">
        <v>136</v>
      </c>
      <c r="E75" s="1" t="s">
        <v>16</v>
      </c>
      <c r="F75" s="1" t="s">
        <v>17</v>
      </c>
      <c r="G75" s="1" t="s">
        <v>125</v>
      </c>
      <c r="H75" s="1" t="s">
        <v>17</v>
      </c>
      <c r="I75" s="1" t="s">
        <v>125</v>
      </c>
      <c r="J75" s="1" t="s">
        <v>126</v>
      </c>
      <c r="K75" s="1" t="s">
        <v>126</v>
      </c>
      <c r="L75" s="1" t="s">
        <v>127</v>
      </c>
      <c r="M75" s="1" t="s">
        <v>128</v>
      </c>
      <c r="N75" s="1">
        <f t="shared" ref="N75:N99" si="5">IF(B75=B74,N74,N74+1)</f>
        <v>10</v>
      </c>
    </row>
    <row r="76">
      <c r="A76" s="1" t="s">
        <v>86</v>
      </c>
      <c r="B76" s="1" t="str">
        <f t="shared" si="4"/>
        <v xml:space="preserve">08 Youth Ed</v>
      </c>
      <c r="C76" s="1" t="s">
        <v>23</v>
      </c>
      <c r="D76" s="1" t="s">
        <v>137</v>
      </c>
      <c r="E76" s="1" t="s">
        <v>138</v>
      </c>
      <c r="F76" s="1" t="s">
        <v>34</v>
      </c>
      <c r="G76" s="1" t="s">
        <v>125</v>
      </c>
      <c r="H76" s="1" t="s">
        <v>139</v>
      </c>
      <c r="I76" s="1" t="s">
        <v>125</v>
      </c>
      <c r="J76" s="1" t="s">
        <v>126</v>
      </c>
      <c r="K76" s="1" t="s">
        <v>126</v>
      </c>
      <c r="L76" s="1" t="s">
        <v>127</v>
      </c>
      <c r="M76" s="1" t="s">
        <v>34</v>
      </c>
      <c r="N76" s="1">
        <f t="shared" si="5"/>
        <v>10</v>
      </c>
    </row>
    <row r="77">
      <c r="A77" s="1" t="s">
        <v>86</v>
      </c>
      <c r="B77" s="1" t="str">
        <f t="shared" si="4"/>
        <v xml:space="preserve">08 Youth Ed</v>
      </c>
      <c r="C77" s="1" t="s">
        <v>23</v>
      </c>
      <c r="D77" s="1" t="s">
        <v>140</v>
      </c>
      <c r="E77" s="1" t="s">
        <v>16</v>
      </c>
      <c r="F77" s="1" t="s">
        <v>17</v>
      </c>
      <c r="G77" s="1" t="s">
        <v>125</v>
      </c>
      <c r="H77" s="1" t="s">
        <v>17</v>
      </c>
      <c r="I77" s="1" t="s">
        <v>125</v>
      </c>
      <c r="J77" s="1" t="s">
        <v>126</v>
      </c>
      <c r="K77" s="1" t="s">
        <v>126</v>
      </c>
      <c r="L77" s="1" t="s">
        <v>127</v>
      </c>
      <c r="M77" s="1" t="s">
        <v>128</v>
      </c>
      <c r="N77" s="1">
        <f t="shared" si="5"/>
        <v>10</v>
      </c>
    </row>
    <row r="78">
      <c r="A78" s="1" t="s">
        <v>86</v>
      </c>
      <c r="B78" s="1" t="str">
        <f t="shared" si="4"/>
        <v xml:space="preserve">08 Youth Ed</v>
      </c>
      <c r="C78" s="1" t="s">
        <v>23</v>
      </c>
      <c r="D78" s="1" t="s">
        <v>141</v>
      </c>
      <c r="E78" s="1" t="s">
        <v>16</v>
      </c>
      <c r="F78" s="1" t="s">
        <v>17</v>
      </c>
      <c r="G78" s="1" t="s">
        <v>125</v>
      </c>
      <c r="H78" s="1" t="s">
        <v>17</v>
      </c>
      <c r="I78" s="1" t="s">
        <v>125</v>
      </c>
      <c r="J78" s="1" t="s">
        <v>126</v>
      </c>
      <c r="K78" s="1" t="s">
        <v>126</v>
      </c>
      <c r="L78" s="1" t="s">
        <v>127</v>
      </c>
      <c r="M78" s="1" t="s">
        <v>128</v>
      </c>
      <c r="N78" s="1">
        <f t="shared" si="5"/>
        <v>10</v>
      </c>
    </row>
    <row r="79">
      <c r="A79" s="1" t="s">
        <v>86</v>
      </c>
      <c r="B79" s="1" t="str">
        <f t="shared" si="4"/>
        <v xml:space="preserve">08 Youth Ed</v>
      </c>
      <c r="C79" s="1" t="s">
        <v>23</v>
      </c>
      <c r="D79" s="1" t="s">
        <v>142</v>
      </c>
      <c r="E79" s="1" t="s">
        <v>16</v>
      </c>
      <c r="F79" s="1" t="s">
        <v>17</v>
      </c>
      <c r="G79" s="1" t="s">
        <v>125</v>
      </c>
      <c r="H79" s="1" t="s">
        <v>17</v>
      </c>
      <c r="I79" s="1" t="s">
        <v>125</v>
      </c>
      <c r="J79" s="1" t="s">
        <v>126</v>
      </c>
      <c r="K79" s="1" t="s">
        <v>126</v>
      </c>
      <c r="L79" s="1" t="s">
        <v>127</v>
      </c>
      <c r="M79" s="1" t="s">
        <v>128</v>
      </c>
      <c r="N79" s="1">
        <f t="shared" si="5"/>
        <v>10</v>
      </c>
    </row>
    <row r="80">
      <c r="A80" s="1" t="s">
        <v>86</v>
      </c>
      <c r="B80" s="1" t="str">
        <f t="shared" si="4"/>
        <v xml:space="preserve">08 Youth Ed</v>
      </c>
      <c r="C80" s="1" t="s">
        <v>23</v>
      </c>
      <c r="D80" s="1" t="s">
        <v>143</v>
      </c>
      <c r="E80" s="1" t="s">
        <v>16</v>
      </c>
      <c r="F80" s="1" t="s">
        <v>17</v>
      </c>
      <c r="G80" s="1" t="s">
        <v>125</v>
      </c>
      <c r="H80" s="1" t="s">
        <v>17</v>
      </c>
      <c r="I80" s="1" t="s">
        <v>125</v>
      </c>
      <c r="J80" s="1" t="s">
        <v>126</v>
      </c>
      <c r="K80" s="1" t="s">
        <v>126</v>
      </c>
      <c r="L80" s="1" t="s">
        <v>127</v>
      </c>
      <c r="M80" s="1" t="s">
        <v>128</v>
      </c>
      <c r="N80" s="1">
        <f t="shared" si="5"/>
        <v>10</v>
      </c>
    </row>
    <row r="81">
      <c r="A81" s="1" t="s">
        <v>86</v>
      </c>
      <c r="B81" s="1" t="str">
        <f t="shared" si="4"/>
        <v xml:space="preserve">08 Youth Ed</v>
      </c>
      <c r="C81" s="1" t="s">
        <v>23</v>
      </c>
      <c r="D81" s="1" t="s">
        <v>144</v>
      </c>
      <c r="E81" s="1" t="s">
        <v>16</v>
      </c>
      <c r="F81" s="1" t="s">
        <v>17</v>
      </c>
      <c r="G81" s="1" t="s">
        <v>125</v>
      </c>
      <c r="H81" s="1" t="s">
        <v>17</v>
      </c>
      <c r="I81" s="1" t="s">
        <v>125</v>
      </c>
      <c r="J81" s="1" t="s">
        <v>126</v>
      </c>
      <c r="K81" s="1" t="s">
        <v>126</v>
      </c>
      <c r="L81" s="1" t="s">
        <v>127</v>
      </c>
      <c r="M81" s="1" t="s">
        <v>128</v>
      </c>
      <c r="N81" s="1">
        <f t="shared" si="5"/>
        <v>10</v>
      </c>
    </row>
    <row r="82">
      <c r="A82" s="1" t="s">
        <v>86</v>
      </c>
      <c r="B82" s="1" t="str">
        <f t="shared" si="4"/>
        <v xml:space="preserve">09 M&amp;B</v>
      </c>
      <c r="C82" s="1" t="s">
        <v>23</v>
      </c>
      <c r="D82" s="1" t="s">
        <v>145</v>
      </c>
      <c r="E82" s="1" t="s">
        <v>67</v>
      </c>
      <c r="F82" s="1" t="s">
        <v>34</v>
      </c>
      <c r="G82" s="1" t="s">
        <v>146</v>
      </c>
      <c r="H82" s="1" t="s">
        <v>147</v>
      </c>
      <c r="I82" s="1" t="s">
        <v>146</v>
      </c>
      <c r="J82" s="1" t="s">
        <v>148</v>
      </c>
      <c r="K82" s="1" t="s">
        <v>148</v>
      </c>
      <c r="L82" s="1" t="s">
        <v>148</v>
      </c>
      <c r="M82" s="1" t="s">
        <v>34</v>
      </c>
      <c r="N82" s="1">
        <f t="shared" si="5"/>
        <v>11</v>
      </c>
    </row>
    <row r="83">
      <c r="A83" s="1" t="s">
        <v>86</v>
      </c>
      <c r="B83" s="1" t="str">
        <f t="shared" si="4"/>
        <v xml:space="preserve">09 M&amp;B</v>
      </c>
      <c r="C83" s="1" t="s">
        <v>23</v>
      </c>
      <c r="D83" s="1" t="s">
        <v>149</v>
      </c>
      <c r="E83" s="1" t="s">
        <v>67</v>
      </c>
      <c r="F83" s="1" t="s">
        <v>34</v>
      </c>
      <c r="G83" s="1" t="s">
        <v>146</v>
      </c>
      <c r="H83" s="1" t="s">
        <v>147</v>
      </c>
      <c r="I83" s="1" t="s">
        <v>146</v>
      </c>
      <c r="J83" s="1" t="s">
        <v>148</v>
      </c>
      <c r="K83" s="1" t="s">
        <v>148</v>
      </c>
      <c r="L83" s="1" t="s">
        <v>148</v>
      </c>
      <c r="M83" s="1" t="s">
        <v>34</v>
      </c>
      <c r="N83" s="1">
        <f t="shared" si="5"/>
        <v>11</v>
      </c>
    </row>
    <row r="84">
      <c r="A84" s="1" t="s">
        <v>86</v>
      </c>
      <c r="B84" s="1" t="str">
        <f t="shared" si="4"/>
        <v xml:space="preserve">09 M&amp;B</v>
      </c>
      <c r="C84" s="1" t="s">
        <v>23</v>
      </c>
      <c r="D84" s="10" t="s">
        <v>150</v>
      </c>
      <c r="E84" s="1" t="s">
        <v>67</v>
      </c>
      <c r="F84" s="1" t="s">
        <v>34</v>
      </c>
      <c r="G84" s="1" t="s">
        <v>146</v>
      </c>
      <c r="H84" s="1" t="s">
        <v>147</v>
      </c>
      <c r="I84" s="1" t="s">
        <v>146</v>
      </c>
      <c r="J84" s="1" t="s">
        <v>148</v>
      </c>
      <c r="K84" s="1" t="s">
        <v>148</v>
      </c>
      <c r="L84" s="1" t="s">
        <v>148</v>
      </c>
      <c r="M84" s="1" t="s">
        <v>34</v>
      </c>
      <c r="N84" s="1">
        <f t="shared" si="5"/>
        <v>11</v>
      </c>
    </row>
    <row r="85">
      <c r="A85" s="1" t="s">
        <v>86</v>
      </c>
      <c r="B85" s="1" t="str">
        <f t="shared" si="4"/>
        <v xml:space="preserve">09 M&amp;B</v>
      </c>
      <c r="C85" s="1" t="s">
        <v>23</v>
      </c>
      <c r="D85" s="1" t="s">
        <v>151</v>
      </c>
      <c r="E85" s="1" t="s">
        <v>67</v>
      </c>
      <c r="F85" s="1" t="s">
        <v>34</v>
      </c>
      <c r="G85" s="1" t="s">
        <v>146</v>
      </c>
      <c r="H85" s="1" t="s">
        <v>147</v>
      </c>
      <c r="I85" s="1" t="s">
        <v>146</v>
      </c>
      <c r="J85" s="1" t="s">
        <v>148</v>
      </c>
      <c r="K85" s="1" t="s">
        <v>148</v>
      </c>
      <c r="L85" s="1" t="s">
        <v>148</v>
      </c>
      <c r="M85" s="1" t="s">
        <v>34</v>
      </c>
      <c r="N85" s="1">
        <f t="shared" si="5"/>
        <v>11</v>
      </c>
    </row>
    <row r="86">
      <c r="A86" s="1" t="s">
        <v>86</v>
      </c>
      <c r="B86" s="1" t="str">
        <f t="shared" si="4"/>
        <v xml:space="preserve">09 M&amp;B</v>
      </c>
      <c r="C86" s="1" t="s">
        <v>23</v>
      </c>
      <c r="D86" s="1" t="s">
        <v>152</v>
      </c>
      <c r="E86" s="1" t="s">
        <v>67</v>
      </c>
      <c r="F86" s="1" t="s">
        <v>34</v>
      </c>
      <c r="G86" s="1" t="s">
        <v>146</v>
      </c>
      <c r="H86" s="1" t="s">
        <v>147</v>
      </c>
      <c r="I86" s="1" t="s">
        <v>146</v>
      </c>
      <c r="J86" s="1" t="s">
        <v>148</v>
      </c>
      <c r="K86" s="1" t="s">
        <v>148</v>
      </c>
      <c r="L86" s="1" t="s">
        <v>148</v>
      </c>
      <c r="M86" s="1" t="s">
        <v>34</v>
      </c>
      <c r="N86" s="1">
        <f t="shared" si="5"/>
        <v>11</v>
      </c>
    </row>
    <row r="87">
      <c r="A87" s="1" t="s">
        <v>86</v>
      </c>
      <c r="B87" s="1" t="str">
        <f t="shared" si="4"/>
        <v xml:space="preserve">09 M&amp;B</v>
      </c>
      <c r="C87" s="1" t="s">
        <v>23</v>
      </c>
      <c r="D87" s="1" t="s">
        <v>153</v>
      </c>
      <c r="E87" s="1" t="s">
        <v>67</v>
      </c>
      <c r="F87" s="1" t="s">
        <v>34</v>
      </c>
      <c r="G87" s="1" t="s">
        <v>146</v>
      </c>
      <c r="H87" s="1" t="s">
        <v>147</v>
      </c>
      <c r="I87" s="1" t="s">
        <v>146</v>
      </c>
      <c r="J87" s="1" t="s">
        <v>148</v>
      </c>
      <c r="K87" s="1" t="s">
        <v>148</v>
      </c>
      <c r="L87" s="1" t="s">
        <v>148</v>
      </c>
      <c r="M87" s="1" t="s">
        <v>34</v>
      </c>
      <c r="N87" s="1">
        <f t="shared" si="5"/>
        <v>11</v>
      </c>
    </row>
    <row r="88">
      <c r="A88" s="1" t="s">
        <v>86</v>
      </c>
      <c r="B88" s="1" t="str">
        <f t="shared" si="4"/>
        <v xml:space="preserve">09 M&amp;B</v>
      </c>
      <c r="C88" s="1" t="s">
        <v>23</v>
      </c>
      <c r="D88" s="1" t="s">
        <v>154</v>
      </c>
      <c r="E88" s="1" t="s">
        <v>67</v>
      </c>
      <c r="F88" s="1" t="s">
        <v>34</v>
      </c>
      <c r="G88" s="1" t="s">
        <v>146</v>
      </c>
      <c r="H88" s="1" t="s">
        <v>147</v>
      </c>
      <c r="I88" s="1" t="s">
        <v>146</v>
      </c>
      <c r="J88" s="1" t="s">
        <v>148</v>
      </c>
      <c r="K88" s="1" t="s">
        <v>148</v>
      </c>
      <c r="L88" s="1" t="s">
        <v>148</v>
      </c>
      <c r="M88" s="1" t="s">
        <v>34</v>
      </c>
      <c r="N88" s="1">
        <f t="shared" si="5"/>
        <v>11</v>
      </c>
    </row>
    <row r="89">
      <c r="A89" s="1" t="s">
        <v>86</v>
      </c>
      <c r="B89" s="1" t="str">
        <f t="shared" si="4"/>
        <v xml:space="preserve">09 M&amp;B</v>
      </c>
      <c r="C89" s="1" t="s">
        <v>23</v>
      </c>
      <c r="D89" s="1" t="s">
        <v>155</v>
      </c>
      <c r="E89" s="1" t="s">
        <v>67</v>
      </c>
      <c r="F89" s="1" t="s">
        <v>34</v>
      </c>
      <c r="G89" s="1" t="s">
        <v>146</v>
      </c>
      <c r="H89" s="1" t="s">
        <v>147</v>
      </c>
      <c r="I89" s="1" t="s">
        <v>146</v>
      </c>
      <c r="J89" s="1" t="s">
        <v>148</v>
      </c>
      <c r="K89" s="1" t="s">
        <v>148</v>
      </c>
      <c r="L89" s="1" t="s">
        <v>148</v>
      </c>
      <c r="M89" s="1" t="s">
        <v>34</v>
      </c>
      <c r="N89" s="1">
        <f t="shared" si="5"/>
        <v>11</v>
      </c>
    </row>
    <row r="90">
      <c r="A90" s="1" t="s">
        <v>86</v>
      </c>
      <c r="B90" s="1" t="str">
        <f t="shared" si="4"/>
        <v xml:space="preserve">09 M&amp;B</v>
      </c>
      <c r="C90" s="1" t="s">
        <v>23</v>
      </c>
      <c r="D90" s="1" t="s">
        <v>156</v>
      </c>
      <c r="E90" s="1" t="s">
        <v>67</v>
      </c>
      <c r="F90" s="1" t="s">
        <v>34</v>
      </c>
      <c r="G90" s="1" t="s">
        <v>146</v>
      </c>
      <c r="H90" s="1" t="s">
        <v>147</v>
      </c>
      <c r="I90" s="1" t="s">
        <v>146</v>
      </c>
      <c r="J90" s="1" t="s">
        <v>148</v>
      </c>
      <c r="K90" s="1" t="s">
        <v>148</v>
      </c>
      <c r="L90" s="1" t="s">
        <v>148</v>
      </c>
      <c r="M90" s="1" t="s">
        <v>34</v>
      </c>
      <c r="N90" s="1">
        <f t="shared" si="5"/>
        <v>11</v>
      </c>
    </row>
    <row r="91">
      <c r="A91" s="1" t="s">
        <v>86</v>
      </c>
      <c r="B91" s="1" t="str">
        <f t="shared" si="4"/>
        <v xml:space="preserve">09 M&amp;B</v>
      </c>
      <c r="C91" s="1" t="s">
        <v>23</v>
      </c>
      <c r="D91" s="1" t="s">
        <v>157</v>
      </c>
      <c r="E91" t="s">
        <v>25</v>
      </c>
      <c r="F91" s="1" t="s">
        <v>34</v>
      </c>
      <c r="G91" s="1" t="s">
        <v>146</v>
      </c>
      <c r="H91" s="1" t="s">
        <v>158</v>
      </c>
      <c r="I91" s="1" t="s">
        <v>146</v>
      </c>
      <c r="J91" s="1" t="s">
        <v>148</v>
      </c>
      <c r="K91" s="1" t="s">
        <v>148</v>
      </c>
      <c r="L91" s="1" t="s">
        <v>148</v>
      </c>
      <c r="M91" s="1" t="s">
        <v>34</v>
      </c>
      <c r="N91" s="1">
        <f t="shared" si="5"/>
        <v>11</v>
      </c>
    </row>
    <row r="92">
      <c r="A92" s="1" t="s">
        <v>86</v>
      </c>
      <c r="B92" s="1" t="str">
        <f t="shared" si="4"/>
        <v xml:space="preserve">09 M&amp;B</v>
      </c>
      <c r="C92" s="1" t="s">
        <v>23</v>
      </c>
      <c r="D92" s="1" t="s">
        <v>159</v>
      </c>
      <c r="E92" s="1" t="s">
        <v>62</v>
      </c>
      <c r="F92" s="1" t="s">
        <v>34</v>
      </c>
      <c r="G92" s="1" t="s">
        <v>160</v>
      </c>
      <c r="H92" s="1" t="s">
        <v>161</v>
      </c>
      <c r="I92" s="1" t="s">
        <v>160</v>
      </c>
      <c r="J92" s="1" t="s">
        <v>148</v>
      </c>
      <c r="K92" s="1" t="s">
        <v>148</v>
      </c>
      <c r="L92" s="1" t="s">
        <v>148</v>
      </c>
      <c r="M92" s="1" t="s">
        <v>34</v>
      </c>
      <c r="N92" s="1">
        <f t="shared" si="5"/>
        <v>11</v>
      </c>
    </row>
    <row r="93">
      <c r="A93" s="1" t="s">
        <v>86</v>
      </c>
      <c r="B93" s="1" t="str">
        <f t="shared" si="4"/>
        <v xml:space="preserve">09 M&amp;B</v>
      </c>
      <c r="C93" s="1" t="s">
        <v>23</v>
      </c>
      <c r="D93" t="s">
        <v>162</v>
      </c>
      <c r="E93" t="s">
        <v>25</v>
      </c>
      <c r="F93" s="1" t="s">
        <v>34</v>
      </c>
      <c r="G93" s="1" t="s">
        <v>146</v>
      </c>
      <c r="H93" s="1" t="s">
        <v>147</v>
      </c>
      <c r="I93" s="1" t="s">
        <v>146</v>
      </c>
      <c r="J93" s="1" t="s">
        <v>148</v>
      </c>
      <c r="K93" s="1" t="s">
        <v>148</v>
      </c>
      <c r="L93" s="1" t="s">
        <v>148</v>
      </c>
      <c r="M93" s="1" t="s">
        <v>34</v>
      </c>
      <c r="N93" s="1">
        <f t="shared" si="5"/>
        <v>11</v>
      </c>
    </row>
    <row r="94">
      <c r="A94" s="1" t="s">
        <v>86</v>
      </c>
      <c r="B94" s="1" t="str">
        <f t="shared" si="4"/>
        <v xml:space="preserve">10 Covenant Fund</v>
      </c>
      <c r="C94" s="1" t="s">
        <v>23</v>
      </c>
      <c r="D94" s="1" t="s">
        <v>163</v>
      </c>
      <c r="E94" s="1" t="s">
        <v>67</v>
      </c>
      <c r="F94" s="1" t="s">
        <v>34</v>
      </c>
      <c r="G94" s="1" t="s">
        <v>146</v>
      </c>
      <c r="H94" s="1" t="s">
        <v>147</v>
      </c>
      <c r="I94" s="1" t="s">
        <v>146</v>
      </c>
      <c r="J94" s="1" t="s">
        <v>164</v>
      </c>
      <c r="K94" s="1" t="s">
        <v>164</v>
      </c>
      <c r="L94" s="1" t="s">
        <v>165</v>
      </c>
      <c r="M94" s="1" t="s">
        <v>34</v>
      </c>
      <c r="N94" s="1">
        <f t="shared" si="5"/>
        <v>12</v>
      </c>
    </row>
    <row r="95">
      <c r="A95" s="1" t="s">
        <v>86</v>
      </c>
      <c r="B95" s="1" t="str">
        <f t="shared" si="4"/>
        <v xml:space="preserve">10 Covenant Fund</v>
      </c>
      <c r="C95" s="1" t="s">
        <v>23</v>
      </c>
      <c r="D95" t="s">
        <v>166</v>
      </c>
      <c r="E95" s="1" t="s">
        <v>67</v>
      </c>
      <c r="F95" s="1" t="s">
        <v>34</v>
      </c>
      <c r="G95" s="1" t="s">
        <v>146</v>
      </c>
      <c r="H95" s="1" t="s">
        <v>147</v>
      </c>
      <c r="I95" s="1" t="s">
        <v>146</v>
      </c>
      <c r="J95" s="1" t="s">
        <v>164</v>
      </c>
      <c r="K95" s="1" t="s">
        <v>164</v>
      </c>
      <c r="L95" s="1" t="s">
        <v>165</v>
      </c>
      <c r="M95" s="1" t="s">
        <v>34</v>
      </c>
      <c r="N95" s="1">
        <f t="shared" si="5"/>
        <v>12</v>
      </c>
    </row>
    <row r="96">
      <c r="A96" s="1" t="s">
        <v>86</v>
      </c>
      <c r="B96" s="1" t="str">
        <f t="shared" si="4"/>
        <v xml:space="preserve">10 Covenant Fund</v>
      </c>
      <c r="C96" s="1" t="s">
        <v>23</v>
      </c>
      <c r="D96" s="1" t="s">
        <v>167</v>
      </c>
      <c r="E96" s="1" t="s">
        <v>67</v>
      </c>
      <c r="F96" s="1" t="s">
        <v>34</v>
      </c>
      <c r="G96" s="1" t="s">
        <v>146</v>
      </c>
      <c r="H96" s="1" t="s">
        <v>147</v>
      </c>
      <c r="I96" s="1" t="s">
        <v>146</v>
      </c>
      <c r="J96" s="1" t="s">
        <v>164</v>
      </c>
      <c r="K96" s="1" t="s">
        <v>164</v>
      </c>
      <c r="L96" s="1" t="s">
        <v>165</v>
      </c>
      <c r="M96" s="1" t="s">
        <v>34</v>
      </c>
      <c r="N96" s="1">
        <f t="shared" si="5"/>
        <v>12</v>
      </c>
    </row>
    <row r="97">
      <c r="A97" s="1" t="s">
        <v>86</v>
      </c>
      <c r="B97" s="1" t="str">
        <f t="shared" si="4"/>
        <v xml:space="preserve">10 Covenant Fund</v>
      </c>
      <c r="C97" s="1" t="s">
        <v>23</v>
      </c>
      <c r="D97" t="s">
        <v>168</v>
      </c>
      <c r="E97" s="1" t="s">
        <v>67</v>
      </c>
      <c r="F97" s="1" t="s">
        <v>34</v>
      </c>
      <c r="G97" s="1" t="s">
        <v>146</v>
      </c>
      <c r="H97" s="1" t="s">
        <v>147</v>
      </c>
      <c r="I97" s="1" t="s">
        <v>146</v>
      </c>
      <c r="J97" s="1" t="s">
        <v>164</v>
      </c>
      <c r="K97" s="1" t="s">
        <v>164</v>
      </c>
      <c r="L97" s="1" t="s">
        <v>165</v>
      </c>
      <c r="M97" s="1" t="s">
        <v>34</v>
      </c>
      <c r="N97" s="1">
        <f t="shared" si="5"/>
        <v>12</v>
      </c>
    </row>
    <row r="98">
      <c r="A98" s="1" t="s">
        <v>86</v>
      </c>
      <c r="B98" s="1" t="str">
        <f t="shared" si="4"/>
        <v xml:space="preserve">10 Covenant Fund</v>
      </c>
      <c r="C98" s="1" t="s">
        <v>23</v>
      </c>
      <c r="D98" s="1" t="s">
        <v>169</v>
      </c>
      <c r="E98" s="1" t="s">
        <v>138</v>
      </c>
      <c r="F98" s="1" t="s">
        <v>34</v>
      </c>
      <c r="G98" s="1" t="s">
        <v>146</v>
      </c>
      <c r="H98" s="1" t="s">
        <v>139</v>
      </c>
      <c r="I98" s="1" t="s">
        <v>146</v>
      </c>
      <c r="J98" s="1" t="s">
        <v>164</v>
      </c>
      <c r="K98" s="1" t="s">
        <v>164</v>
      </c>
      <c r="L98" s="1" t="s">
        <v>170</v>
      </c>
      <c r="M98" s="1" t="s">
        <v>34</v>
      </c>
      <c r="N98" s="1">
        <f t="shared" si="5"/>
        <v>12</v>
      </c>
    </row>
    <row r="99">
      <c r="A99" s="1" t="s">
        <v>86</v>
      </c>
      <c r="B99" s="1" t="str">
        <f t="shared" si="4"/>
        <v xml:space="preserve">10 Covenant Fund</v>
      </c>
      <c r="C99" s="1" t="s">
        <v>23</v>
      </c>
      <c r="D99" s="1" t="s">
        <v>171</v>
      </c>
      <c r="E99" s="1" t="s">
        <v>67</v>
      </c>
      <c r="F99" s="1" t="s">
        <v>34</v>
      </c>
      <c r="G99" s="1" t="s">
        <v>146</v>
      </c>
      <c r="H99" s="1" t="s">
        <v>147</v>
      </c>
      <c r="I99" s="1" t="s">
        <v>146</v>
      </c>
      <c r="J99" s="1" t="s">
        <v>164</v>
      </c>
      <c r="K99" s="1" t="s">
        <v>164</v>
      </c>
      <c r="L99" s="1" t="s">
        <v>170</v>
      </c>
      <c r="M99" s="1" t="s">
        <v>34</v>
      </c>
      <c r="N99" s="1">
        <f t="shared" si="5"/>
        <v>12</v>
      </c>
    </row>
    <row r="100">
      <c r="A100" s="1" t="s">
        <v>86</v>
      </c>
      <c r="B100" s="1" t="str">
        <f t="shared" ref="B100:B163" si="6">J100</f>
        <v xml:space="preserve">10 Covenant Fund</v>
      </c>
      <c r="C100" s="1" t="s">
        <v>23</v>
      </c>
      <c r="D100" s="1" t="s">
        <v>172</v>
      </c>
      <c r="E100" s="1" t="s">
        <v>67</v>
      </c>
      <c r="F100" s="1" t="s">
        <v>34</v>
      </c>
      <c r="G100" s="1" t="s">
        <v>146</v>
      </c>
      <c r="H100" s="1" t="s">
        <v>147</v>
      </c>
      <c r="I100" s="1" t="s">
        <v>146</v>
      </c>
      <c r="J100" s="1" t="s">
        <v>164</v>
      </c>
      <c r="K100" s="1" t="s">
        <v>164</v>
      </c>
      <c r="L100" s="1" t="s">
        <v>170</v>
      </c>
      <c r="M100" s="1" t="s">
        <v>34</v>
      </c>
      <c r="N100" s="1">
        <f>IF(B100=B99,N99,N99+1)</f>
        <v>12</v>
      </c>
    </row>
    <row r="101">
      <c r="A101" s="1" t="s">
        <v>86</v>
      </c>
      <c r="B101" s="1" t="str">
        <f t="shared" si="6"/>
        <v xml:space="preserve">10 Covenant Fund</v>
      </c>
      <c r="C101" s="1" t="s">
        <v>23</v>
      </c>
      <c r="D101" s="1" t="s">
        <v>173</v>
      </c>
      <c r="E101" s="1" t="s">
        <v>67</v>
      </c>
      <c r="F101" s="1" t="s">
        <v>34</v>
      </c>
      <c r="G101" s="1" t="s">
        <v>146</v>
      </c>
      <c r="H101" s="1" t="s">
        <v>147</v>
      </c>
      <c r="I101" s="1" t="s">
        <v>146</v>
      </c>
      <c r="J101" s="1" t="s">
        <v>164</v>
      </c>
      <c r="K101" s="1" t="s">
        <v>164</v>
      </c>
      <c r="L101" s="1" t="s">
        <v>170</v>
      </c>
      <c r="M101" s="1" t="s">
        <v>34</v>
      </c>
      <c r="N101" s="1">
        <f t="shared" ref="N101:N122" si="7">IF(B101=B100,N100,N100+1)</f>
        <v>12</v>
      </c>
    </row>
    <row r="102">
      <c r="A102" s="1" t="s">
        <v>86</v>
      </c>
      <c r="B102" s="1" t="str">
        <f t="shared" si="6"/>
        <v xml:space="preserve">11 Adult Ed</v>
      </c>
      <c r="C102" s="1" t="s">
        <v>23</v>
      </c>
      <c r="D102" s="1" t="s">
        <v>174</v>
      </c>
      <c r="E102" s="1" t="s">
        <v>16</v>
      </c>
      <c r="F102" s="1" t="s">
        <v>17</v>
      </c>
      <c r="G102" s="1" t="s">
        <v>175</v>
      </c>
      <c r="H102" s="1" t="s">
        <v>17</v>
      </c>
      <c r="I102" s="1" t="s">
        <v>175</v>
      </c>
      <c r="J102" s="1" t="s">
        <v>176</v>
      </c>
      <c r="K102" s="1" t="s">
        <v>176</v>
      </c>
      <c r="L102" s="1" t="s">
        <v>176</v>
      </c>
      <c r="M102" s="1" t="s">
        <v>128</v>
      </c>
      <c r="N102" s="1">
        <f t="shared" si="7"/>
        <v>13</v>
      </c>
    </row>
    <row r="103">
      <c r="A103" s="1" t="s">
        <v>86</v>
      </c>
      <c r="B103" s="1" t="str">
        <f t="shared" si="6"/>
        <v xml:space="preserve">11 Adult Ed</v>
      </c>
      <c r="C103" s="1" t="s">
        <v>23</v>
      </c>
      <c r="D103" s="1" t="s">
        <v>177</v>
      </c>
      <c r="E103" s="1" t="s">
        <v>16</v>
      </c>
      <c r="F103" s="1" t="s">
        <v>17</v>
      </c>
      <c r="G103" s="1" t="s">
        <v>175</v>
      </c>
      <c r="H103" s="1" t="s">
        <v>17</v>
      </c>
      <c r="I103" s="1" t="s">
        <v>175</v>
      </c>
      <c r="J103" s="1" t="s">
        <v>176</v>
      </c>
      <c r="K103" s="1" t="s">
        <v>176</v>
      </c>
      <c r="L103" s="1" t="s">
        <v>176</v>
      </c>
      <c r="M103" s="1" t="s">
        <v>128</v>
      </c>
      <c r="N103" s="1">
        <f t="shared" si="7"/>
        <v>13</v>
      </c>
    </row>
    <row r="104">
      <c r="A104" s="1" t="s">
        <v>86</v>
      </c>
      <c r="B104" s="1" t="str">
        <f t="shared" si="6"/>
        <v xml:space="preserve">11 Adult Ed</v>
      </c>
      <c r="C104" s="1" t="s">
        <v>23</v>
      </c>
      <c r="D104" t="s">
        <v>178</v>
      </c>
      <c r="E104" s="1" t="s">
        <v>25</v>
      </c>
      <c r="F104" s="1" t="s">
        <v>17</v>
      </c>
      <c r="G104" s="1" t="s">
        <v>175</v>
      </c>
      <c r="H104" s="1" t="s">
        <v>17</v>
      </c>
      <c r="I104" s="1" t="s">
        <v>175</v>
      </c>
      <c r="J104" s="1" t="s">
        <v>176</v>
      </c>
      <c r="K104" s="1" t="s">
        <v>176</v>
      </c>
      <c r="L104" s="1" t="s">
        <v>176</v>
      </c>
      <c r="M104" s="1" t="s">
        <v>128</v>
      </c>
      <c r="N104" s="1">
        <f t="shared" si="7"/>
        <v>13</v>
      </c>
    </row>
    <row r="105">
      <c r="A105" s="1" t="s">
        <v>86</v>
      </c>
      <c r="B105" s="1" t="str">
        <f t="shared" si="6"/>
        <v xml:space="preserve">11 Adult Ed</v>
      </c>
      <c r="C105" s="1" t="s">
        <v>23</v>
      </c>
      <c r="D105" s="1" t="s">
        <v>179</v>
      </c>
      <c r="E105" s="1" t="s">
        <v>16</v>
      </c>
      <c r="F105" s="1" t="s">
        <v>17</v>
      </c>
      <c r="G105" s="1" t="s">
        <v>175</v>
      </c>
      <c r="H105" s="1" t="s">
        <v>17</v>
      </c>
      <c r="I105" s="1" t="s">
        <v>175</v>
      </c>
      <c r="J105" s="1" t="s">
        <v>176</v>
      </c>
      <c r="K105" s="1" t="s">
        <v>176</v>
      </c>
      <c r="L105" s="1" t="s">
        <v>176</v>
      </c>
      <c r="M105" s="1" t="s">
        <v>128</v>
      </c>
      <c r="N105" s="1">
        <f t="shared" si="7"/>
        <v>13</v>
      </c>
    </row>
    <row r="106">
      <c r="A106" s="1" t="s">
        <v>86</v>
      </c>
      <c r="B106" s="1" t="str">
        <f t="shared" si="6"/>
        <v xml:space="preserve">11 Adult Ed</v>
      </c>
      <c r="C106" s="1" t="s">
        <v>23</v>
      </c>
      <c r="D106" s="4" t="s">
        <v>180</v>
      </c>
      <c r="E106" s="1" t="s">
        <v>16</v>
      </c>
      <c r="F106" s="1" t="s">
        <v>17</v>
      </c>
      <c r="G106" s="1" t="s">
        <v>175</v>
      </c>
      <c r="H106" s="1" t="s">
        <v>17</v>
      </c>
      <c r="I106" s="1" t="s">
        <v>175</v>
      </c>
      <c r="J106" s="1" t="s">
        <v>176</v>
      </c>
      <c r="K106" s="1" t="s">
        <v>176</v>
      </c>
      <c r="L106" s="1" t="s">
        <v>176</v>
      </c>
      <c r="M106" s="1" t="s">
        <v>128</v>
      </c>
      <c r="N106" s="1">
        <f t="shared" si="7"/>
        <v>13</v>
      </c>
    </row>
    <row r="107" ht="14.25">
      <c r="A107" s="1" t="s">
        <v>86</v>
      </c>
      <c r="B107" s="1" t="str">
        <f t="shared" si="6"/>
        <v xml:space="preserve">11 Adult Ed</v>
      </c>
      <c r="C107" s="1" t="s">
        <v>23</v>
      </c>
      <c r="D107" s="11" t="s">
        <v>181</v>
      </c>
      <c r="E107" s="1" t="s">
        <v>16</v>
      </c>
      <c r="F107" s="1" t="s">
        <v>17</v>
      </c>
      <c r="G107" s="1" t="s">
        <v>175</v>
      </c>
      <c r="H107" s="1" t="s">
        <v>17</v>
      </c>
      <c r="I107" s="1" t="s">
        <v>175</v>
      </c>
      <c r="J107" s="1" t="s">
        <v>176</v>
      </c>
      <c r="K107" s="1" t="s">
        <v>176</v>
      </c>
      <c r="L107" s="1" t="s">
        <v>176</v>
      </c>
      <c r="M107" s="1" t="s">
        <v>128</v>
      </c>
      <c r="N107" s="1">
        <f t="shared" si="7"/>
        <v>13</v>
      </c>
    </row>
    <row r="108">
      <c r="A108" s="1" t="s">
        <v>86</v>
      </c>
      <c r="B108" s="1" t="str">
        <f t="shared" si="6"/>
        <v xml:space="preserve">11 Adult Ed</v>
      </c>
      <c r="C108" s="1" t="s">
        <v>23</v>
      </c>
      <c r="D108" s="1" t="s">
        <v>182</v>
      </c>
      <c r="E108" s="1" t="s">
        <v>16</v>
      </c>
      <c r="F108" s="1" t="s">
        <v>17</v>
      </c>
      <c r="G108" s="1" t="s">
        <v>175</v>
      </c>
      <c r="H108" s="1" t="s">
        <v>17</v>
      </c>
      <c r="I108" s="1" t="s">
        <v>175</v>
      </c>
      <c r="J108" s="1" t="s">
        <v>176</v>
      </c>
      <c r="K108" s="1" t="s">
        <v>176</v>
      </c>
      <c r="L108" s="1" t="s">
        <v>176</v>
      </c>
      <c r="M108" s="1" t="s">
        <v>128</v>
      </c>
      <c r="N108" s="1">
        <f t="shared" si="7"/>
        <v>13</v>
      </c>
    </row>
    <row r="109">
      <c r="A109" s="1" t="s">
        <v>86</v>
      </c>
      <c r="B109" s="1" t="str">
        <f t="shared" si="6"/>
        <v xml:space="preserve">11 Adult Ed</v>
      </c>
      <c r="C109" s="1" t="s">
        <v>23</v>
      </c>
      <c r="D109" s="1" t="s">
        <v>183</v>
      </c>
      <c r="E109" s="1" t="s">
        <v>16</v>
      </c>
      <c r="F109" s="1" t="s">
        <v>17</v>
      </c>
      <c r="G109" s="1" t="s">
        <v>175</v>
      </c>
      <c r="H109" s="1" t="s">
        <v>17</v>
      </c>
      <c r="I109" s="1" t="s">
        <v>175</v>
      </c>
      <c r="J109" s="1" t="s">
        <v>176</v>
      </c>
      <c r="K109" s="1" t="s">
        <v>176</v>
      </c>
      <c r="L109" s="1" t="s">
        <v>176</v>
      </c>
      <c r="M109" s="1" t="s">
        <v>128</v>
      </c>
      <c r="N109" s="1">
        <f t="shared" si="7"/>
        <v>13</v>
      </c>
    </row>
    <row r="110">
      <c r="A110" s="1" t="s">
        <v>86</v>
      </c>
      <c r="B110" s="1" t="str">
        <f t="shared" si="6"/>
        <v xml:space="preserve">11 Adult Ed</v>
      </c>
      <c r="C110" s="1" t="s">
        <v>23</v>
      </c>
      <c r="D110" s="1" t="s">
        <v>184</v>
      </c>
      <c r="E110" s="1" t="s">
        <v>16</v>
      </c>
      <c r="F110" s="1" t="s">
        <v>17</v>
      </c>
      <c r="G110" s="1" t="s">
        <v>175</v>
      </c>
      <c r="H110" s="1" t="s">
        <v>17</v>
      </c>
      <c r="I110" s="1" t="s">
        <v>175</v>
      </c>
      <c r="J110" s="1" t="s">
        <v>176</v>
      </c>
      <c r="K110" s="1" t="s">
        <v>176</v>
      </c>
      <c r="L110" s="1" t="s">
        <v>176</v>
      </c>
      <c r="M110" s="1" t="s">
        <v>128</v>
      </c>
      <c r="N110" s="1">
        <f t="shared" si="7"/>
        <v>13</v>
      </c>
    </row>
    <row r="111">
      <c r="A111" s="1" t="s">
        <v>86</v>
      </c>
      <c r="B111" s="1" t="str">
        <f t="shared" si="6"/>
        <v xml:space="preserve">11 Adult Ed</v>
      </c>
      <c r="C111" s="1" t="s">
        <v>23</v>
      </c>
      <c r="D111" s="1" t="s">
        <v>185</v>
      </c>
      <c r="E111" s="1" t="s">
        <v>16</v>
      </c>
      <c r="F111" s="1" t="s">
        <v>17</v>
      </c>
      <c r="G111" s="1" t="s">
        <v>175</v>
      </c>
      <c r="H111" s="1" t="s">
        <v>17</v>
      </c>
      <c r="I111" s="1" t="s">
        <v>175</v>
      </c>
      <c r="J111" s="1" t="s">
        <v>176</v>
      </c>
      <c r="K111" s="1" t="s">
        <v>176</v>
      </c>
      <c r="L111" s="1" t="s">
        <v>176</v>
      </c>
      <c r="M111" s="1" t="s">
        <v>128</v>
      </c>
      <c r="N111" s="1">
        <f t="shared" si="7"/>
        <v>13</v>
      </c>
    </row>
    <row r="112">
      <c r="A112" s="1" t="s">
        <v>86</v>
      </c>
      <c r="B112" s="1" t="str">
        <f t="shared" si="6"/>
        <v xml:space="preserve">11 Adult Ed</v>
      </c>
      <c r="C112" s="1" t="s">
        <v>23</v>
      </c>
      <c r="D112" s="1" t="s">
        <v>186</v>
      </c>
      <c r="E112" s="1" t="s">
        <v>16</v>
      </c>
      <c r="F112" s="1" t="s">
        <v>17</v>
      </c>
      <c r="G112" s="1" t="s">
        <v>175</v>
      </c>
      <c r="H112" s="1" t="s">
        <v>17</v>
      </c>
      <c r="I112" s="1" t="s">
        <v>175</v>
      </c>
      <c r="J112" s="1" t="s">
        <v>176</v>
      </c>
      <c r="K112" s="1" t="s">
        <v>176</v>
      </c>
      <c r="L112" s="1" t="s">
        <v>176</v>
      </c>
      <c r="M112" s="1" t="s">
        <v>128</v>
      </c>
      <c r="N112" s="1">
        <f t="shared" si="7"/>
        <v>13</v>
      </c>
    </row>
    <row r="113">
      <c r="A113" s="1" t="s">
        <v>86</v>
      </c>
      <c r="B113" s="1" t="str">
        <f t="shared" si="6"/>
        <v xml:space="preserve">11 Adult Ed</v>
      </c>
      <c r="C113" s="1" t="s">
        <v>23</v>
      </c>
      <c r="D113" s="1" t="s">
        <v>187</v>
      </c>
      <c r="E113" s="1" t="s">
        <v>16</v>
      </c>
      <c r="F113" s="1" t="s">
        <v>17</v>
      </c>
      <c r="G113" s="1" t="s">
        <v>175</v>
      </c>
      <c r="H113" s="1" t="s">
        <v>17</v>
      </c>
      <c r="I113" s="1" t="s">
        <v>175</v>
      </c>
      <c r="J113" s="1" t="s">
        <v>176</v>
      </c>
      <c r="K113" s="1" t="s">
        <v>176</v>
      </c>
      <c r="L113" s="1" t="s">
        <v>176</v>
      </c>
      <c r="M113" s="1" t="s">
        <v>128</v>
      </c>
      <c r="N113" s="1">
        <f t="shared" si="7"/>
        <v>13</v>
      </c>
    </row>
    <row r="114">
      <c r="A114" s="1" t="s">
        <v>86</v>
      </c>
      <c r="B114" s="1" t="str">
        <f t="shared" si="6"/>
        <v xml:space="preserve">12 Care &amp; Support</v>
      </c>
      <c r="C114" s="1" t="s">
        <v>23</v>
      </c>
      <c r="D114" s="1" t="s">
        <v>188</v>
      </c>
      <c r="E114" s="1" t="s">
        <v>16</v>
      </c>
      <c r="F114" s="1" t="s">
        <v>17</v>
      </c>
      <c r="G114" s="1" t="s">
        <v>189</v>
      </c>
      <c r="H114" s="1" t="s">
        <v>17</v>
      </c>
      <c r="I114" s="1" t="s">
        <v>189</v>
      </c>
      <c r="J114" s="1" t="s">
        <v>190</v>
      </c>
      <c r="K114" s="1" t="s">
        <v>190</v>
      </c>
      <c r="L114" s="1" t="s">
        <v>191</v>
      </c>
      <c r="M114" s="1" t="s">
        <v>128</v>
      </c>
      <c r="N114" s="1">
        <f t="shared" si="7"/>
        <v>14</v>
      </c>
    </row>
    <row r="115">
      <c r="A115" s="1" t="s">
        <v>86</v>
      </c>
      <c r="B115" s="1" t="str">
        <f t="shared" si="6"/>
        <v xml:space="preserve">12 Care &amp; Support</v>
      </c>
      <c r="C115" s="1" t="s">
        <v>23</v>
      </c>
      <c r="D115" s="1" t="s">
        <v>192</v>
      </c>
      <c r="E115" s="1" t="s">
        <v>16</v>
      </c>
      <c r="F115" s="1" t="s">
        <v>17</v>
      </c>
      <c r="G115" s="1" t="s">
        <v>189</v>
      </c>
      <c r="H115" s="1" t="s">
        <v>17</v>
      </c>
      <c r="I115" s="1" t="s">
        <v>189</v>
      </c>
      <c r="J115" s="1" t="s">
        <v>190</v>
      </c>
      <c r="K115" s="1" t="s">
        <v>190</v>
      </c>
      <c r="L115" s="1" t="s">
        <v>191</v>
      </c>
      <c r="M115" s="1" t="s">
        <v>128</v>
      </c>
      <c r="N115" s="1">
        <f t="shared" si="7"/>
        <v>14</v>
      </c>
    </row>
    <row r="116">
      <c r="A116" s="1" t="s">
        <v>86</v>
      </c>
      <c r="B116" s="1" t="str">
        <f t="shared" si="6"/>
        <v xml:space="preserve">12 Care &amp; Support</v>
      </c>
      <c r="C116" s="1" t="s">
        <v>23</v>
      </c>
      <c r="D116" s="1" t="s">
        <v>193</v>
      </c>
      <c r="E116" s="1" t="s">
        <v>16</v>
      </c>
      <c r="F116" s="1" t="s">
        <v>17</v>
      </c>
      <c r="G116" s="1" t="s">
        <v>189</v>
      </c>
      <c r="H116" s="1" t="s">
        <v>17</v>
      </c>
      <c r="I116" s="1" t="s">
        <v>189</v>
      </c>
      <c r="J116" s="1" t="s">
        <v>190</v>
      </c>
      <c r="K116" s="1" t="s">
        <v>190</v>
      </c>
      <c r="L116" s="1" t="s">
        <v>191</v>
      </c>
      <c r="M116" s="1" t="s">
        <v>128</v>
      </c>
      <c r="N116" s="1">
        <f t="shared" si="7"/>
        <v>14</v>
      </c>
    </row>
    <row r="117">
      <c r="A117" s="1" t="s">
        <v>86</v>
      </c>
      <c r="B117" s="1" t="str">
        <f t="shared" si="6"/>
        <v xml:space="preserve">12 Care &amp; Support</v>
      </c>
      <c r="C117" s="1" t="s">
        <v>23</v>
      </c>
      <c r="D117" s="1" t="s">
        <v>194</v>
      </c>
      <c r="E117" s="1" t="s">
        <v>16</v>
      </c>
      <c r="F117" s="1" t="s">
        <v>17</v>
      </c>
      <c r="G117" s="1" t="s">
        <v>189</v>
      </c>
      <c r="H117" s="1" t="s">
        <v>17</v>
      </c>
      <c r="I117" s="1" t="s">
        <v>189</v>
      </c>
      <c r="J117" s="1" t="s">
        <v>190</v>
      </c>
      <c r="K117" s="1" t="s">
        <v>190</v>
      </c>
      <c r="L117" s="1" t="s">
        <v>191</v>
      </c>
      <c r="M117" s="1" t="s">
        <v>128</v>
      </c>
      <c r="N117" s="1">
        <f t="shared" si="7"/>
        <v>14</v>
      </c>
    </row>
    <row r="118">
      <c r="A118" s="1" t="s">
        <v>86</v>
      </c>
      <c r="B118" s="1" t="str">
        <f t="shared" si="6"/>
        <v xml:space="preserve">12 Care &amp; Support</v>
      </c>
      <c r="C118" s="1" t="s">
        <v>23</v>
      </c>
      <c r="D118" s="1" t="s">
        <v>195</v>
      </c>
      <c r="E118" s="1" t="s">
        <v>16</v>
      </c>
      <c r="F118" s="1" t="s">
        <v>17</v>
      </c>
      <c r="G118" s="1" t="s">
        <v>189</v>
      </c>
      <c r="H118" s="1" t="s">
        <v>17</v>
      </c>
      <c r="I118" s="1" t="s">
        <v>189</v>
      </c>
      <c r="J118" s="1" t="s">
        <v>190</v>
      </c>
      <c r="K118" s="1" t="s">
        <v>190</v>
      </c>
      <c r="L118" s="1" t="s">
        <v>191</v>
      </c>
      <c r="M118" s="1" t="s">
        <v>128</v>
      </c>
      <c r="N118" s="1">
        <f t="shared" si="7"/>
        <v>14</v>
      </c>
    </row>
    <row r="119">
      <c r="A119" s="1" t="s">
        <v>86</v>
      </c>
      <c r="B119" s="1" t="str">
        <f t="shared" si="6"/>
        <v xml:space="preserve">13 Membership</v>
      </c>
      <c r="C119" s="1" t="s">
        <v>23</v>
      </c>
      <c r="D119" s="1" t="s">
        <v>196</v>
      </c>
      <c r="E119" s="1" t="s">
        <v>16</v>
      </c>
      <c r="F119" s="1" t="s">
        <v>17</v>
      </c>
      <c r="G119" s="1" t="s">
        <v>197</v>
      </c>
      <c r="H119" s="1" t="s">
        <v>17</v>
      </c>
      <c r="I119" s="1" t="s">
        <v>197</v>
      </c>
      <c r="J119" s="1" t="s">
        <v>198</v>
      </c>
      <c r="K119" s="1" t="s">
        <v>198</v>
      </c>
      <c r="L119" s="1" t="s">
        <v>198</v>
      </c>
      <c r="M119" s="1" t="s">
        <v>128</v>
      </c>
      <c r="N119" s="1">
        <f t="shared" si="7"/>
        <v>15</v>
      </c>
    </row>
    <row r="120">
      <c r="A120" s="1" t="s">
        <v>86</v>
      </c>
      <c r="B120" s="1" t="str">
        <f t="shared" si="6"/>
        <v xml:space="preserve">13 Membership</v>
      </c>
      <c r="C120" s="1" t="s">
        <v>23</v>
      </c>
      <c r="D120" s="1" t="s">
        <v>199</v>
      </c>
      <c r="E120" s="1" t="s">
        <v>16</v>
      </c>
      <c r="F120" s="1" t="s">
        <v>17</v>
      </c>
      <c r="G120" s="1" t="s">
        <v>197</v>
      </c>
      <c r="H120" s="1" t="s">
        <v>17</v>
      </c>
      <c r="I120" s="1" t="s">
        <v>197</v>
      </c>
      <c r="J120" s="1" t="s">
        <v>198</v>
      </c>
      <c r="K120" s="1" t="s">
        <v>198</v>
      </c>
      <c r="L120" s="1" t="s">
        <v>198</v>
      </c>
      <c r="M120" s="1" t="s">
        <v>128</v>
      </c>
      <c r="N120" s="1">
        <f t="shared" si="7"/>
        <v>15</v>
      </c>
    </row>
    <row r="121">
      <c r="A121" s="1" t="s">
        <v>86</v>
      </c>
      <c r="B121" s="1" t="str">
        <f t="shared" si="6"/>
        <v xml:space="preserve">13 Membership</v>
      </c>
      <c r="C121" s="1" t="s">
        <v>23</v>
      </c>
      <c r="D121" s="1" t="s">
        <v>200</v>
      </c>
      <c r="E121" s="1" t="s">
        <v>16</v>
      </c>
      <c r="F121" s="1" t="s">
        <v>17</v>
      </c>
      <c r="G121" s="1" t="s">
        <v>197</v>
      </c>
      <c r="H121" s="1" t="s">
        <v>17</v>
      </c>
      <c r="I121" s="1" t="s">
        <v>197</v>
      </c>
      <c r="J121" s="1" t="s">
        <v>198</v>
      </c>
      <c r="K121" s="1" t="s">
        <v>198</v>
      </c>
      <c r="L121" s="1" t="s">
        <v>198</v>
      </c>
      <c r="M121" s="1" t="s">
        <v>128</v>
      </c>
      <c r="N121" s="1">
        <f t="shared" si="7"/>
        <v>15</v>
      </c>
    </row>
    <row r="122">
      <c r="A122" s="1" t="s">
        <v>86</v>
      </c>
      <c r="B122" s="1" t="str">
        <f t="shared" si="6"/>
        <v xml:space="preserve">13 Membership</v>
      </c>
      <c r="C122" s="1" t="s">
        <v>23</v>
      </c>
      <c r="D122" s="1" t="s">
        <v>201</v>
      </c>
      <c r="E122" s="1" t="s">
        <v>16</v>
      </c>
      <c r="F122" s="1" t="s">
        <v>17</v>
      </c>
      <c r="G122" s="1" t="s">
        <v>197</v>
      </c>
      <c r="H122" s="1" t="s">
        <v>17</v>
      </c>
      <c r="I122" s="1" t="s">
        <v>197</v>
      </c>
      <c r="J122" s="1" t="s">
        <v>198</v>
      </c>
      <c r="K122" s="1" t="s">
        <v>198</v>
      </c>
      <c r="L122" s="1" t="s">
        <v>198</v>
      </c>
      <c r="M122" s="1" t="s">
        <v>128</v>
      </c>
      <c r="N122" s="1">
        <f t="shared" si="7"/>
        <v>15</v>
      </c>
    </row>
    <row r="123">
      <c r="A123" s="12" t="s">
        <v>86</v>
      </c>
      <c r="B123" s="12" t="str">
        <f t="shared" si="6"/>
        <v xml:space="preserve">13 Membership</v>
      </c>
      <c r="C123" s="12" t="s">
        <v>23</v>
      </c>
      <c r="D123" s="12" t="s">
        <v>202</v>
      </c>
      <c r="E123" s="12" t="s">
        <v>58</v>
      </c>
      <c r="F123" s="12" t="s">
        <v>59</v>
      </c>
      <c r="G123" s="12" t="s">
        <v>197</v>
      </c>
      <c r="H123" s="12" t="s">
        <v>59</v>
      </c>
      <c r="I123" s="12" t="s">
        <v>197</v>
      </c>
      <c r="J123" s="12" t="s">
        <v>198</v>
      </c>
      <c r="K123" s="12" t="s">
        <v>198</v>
      </c>
      <c r="L123" s="12" t="s">
        <v>198</v>
      </c>
      <c r="M123" s="12" t="s">
        <v>128</v>
      </c>
      <c r="N123" s="12">
        <f t="shared" ref="N123:N124" si="8">IF(B123=B121,N121,N121+1)</f>
        <v>15</v>
      </c>
    </row>
    <row r="124">
      <c r="A124" s="1" t="s">
        <v>86</v>
      </c>
      <c r="B124" s="1" t="str">
        <f t="shared" si="6"/>
        <v xml:space="preserve">13 Membership</v>
      </c>
      <c r="C124" s="1" t="s">
        <v>23</v>
      </c>
      <c r="D124" s="1" t="s">
        <v>203</v>
      </c>
      <c r="E124" s="1" t="s">
        <v>58</v>
      </c>
      <c r="F124" s="1" t="s">
        <v>59</v>
      </c>
      <c r="G124" s="1" t="s">
        <v>197</v>
      </c>
      <c r="H124" s="1" t="s">
        <v>59</v>
      </c>
      <c r="I124" s="1" t="s">
        <v>197</v>
      </c>
      <c r="J124" s="1" t="s">
        <v>198</v>
      </c>
      <c r="K124" s="1" t="s">
        <v>198</v>
      </c>
      <c r="L124" s="1" t="s">
        <v>198</v>
      </c>
      <c r="M124" s="1" t="s">
        <v>128</v>
      </c>
      <c r="N124" s="1">
        <f t="shared" si="8"/>
        <v>15</v>
      </c>
    </row>
    <row r="125">
      <c r="A125" s="1" t="s">
        <v>86</v>
      </c>
      <c r="B125" s="1" t="str">
        <f t="shared" si="6"/>
        <v xml:space="preserve">14 Creation Care</v>
      </c>
      <c r="C125" s="1" t="s">
        <v>23</v>
      </c>
      <c r="D125" s="1" t="s">
        <v>204</v>
      </c>
      <c r="E125" s="1" t="s">
        <v>67</v>
      </c>
      <c r="F125" s="1" t="s">
        <v>34</v>
      </c>
      <c r="G125" s="1" t="s">
        <v>205</v>
      </c>
      <c r="H125" s="1" t="s">
        <v>147</v>
      </c>
      <c r="I125" s="1" t="s">
        <v>205</v>
      </c>
      <c r="J125" s="1" t="s">
        <v>206</v>
      </c>
      <c r="K125" s="1" t="s">
        <v>206</v>
      </c>
      <c r="L125" s="1" t="s">
        <v>206</v>
      </c>
      <c r="M125" s="1" t="s">
        <v>34</v>
      </c>
      <c r="N125" s="1">
        <f>IF(B125=B122,N122,N122+1)</f>
        <v>16</v>
      </c>
    </row>
    <row r="126">
      <c r="A126" s="1" t="s">
        <v>86</v>
      </c>
      <c r="B126" s="1" t="str">
        <f t="shared" si="6"/>
        <v xml:space="preserve">14 Creation Care</v>
      </c>
      <c r="C126" s="1" t="s">
        <v>23</v>
      </c>
      <c r="D126" s="1" t="s">
        <v>207</v>
      </c>
      <c r="E126" s="1" t="s">
        <v>67</v>
      </c>
      <c r="F126" s="1" t="s">
        <v>34</v>
      </c>
      <c r="G126" s="1" t="s">
        <v>205</v>
      </c>
      <c r="H126" s="1" t="s">
        <v>147</v>
      </c>
      <c r="I126" s="1" t="s">
        <v>205</v>
      </c>
      <c r="J126" s="1" t="s">
        <v>206</v>
      </c>
      <c r="K126" s="1" t="s">
        <v>206</v>
      </c>
      <c r="L126" s="1" t="s">
        <v>206</v>
      </c>
      <c r="M126" s="1" t="s">
        <v>34</v>
      </c>
      <c r="N126" s="1">
        <f t="shared" ref="N126:N189" si="9">IF(B126=B125,N125,N125+1)</f>
        <v>16</v>
      </c>
    </row>
    <row r="127">
      <c r="A127" s="1" t="s">
        <v>86</v>
      </c>
      <c r="B127" s="1" t="str">
        <f t="shared" si="6"/>
        <v xml:space="preserve">14 Creation Care</v>
      </c>
      <c r="C127" s="1" t="s">
        <v>23</v>
      </c>
      <c r="D127" s="1" t="s">
        <v>208</v>
      </c>
      <c r="E127" s="1" t="s">
        <v>67</v>
      </c>
      <c r="F127" s="1" t="s">
        <v>34</v>
      </c>
      <c r="G127" s="1" t="s">
        <v>205</v>
      </c>
      <c r="H127" s="1" t="s">
        <v>147</v>
      </c>
      <c r="I127" s="1" t="s">
        <v>205</v>
      </c>
      <c r="J127" s="1" t="s">
        <v>206</v>
      </c>
      <c r="K127" s="1" t="s">
        <v>206</v>
      </c>
      <c r="L127" s="1" t="s">
        <v>206</v>
      </c>
      <c r="M127" s="1" t="s">
        <v>34</v>
      </c>
      <c r="N127" s="1">
        <f t="shared" si="9"/>
        <v>16</v>
      </c>
    </row>
    <row r="128">
      <c r="A128" s="1" t="s">
        <v>86</v>
      </c>
      <c r="B128" s="1" t="str">
        <f t="shared" si="6"/>
        <v xml:space="preserve">14 Creation Care</v>
      </c>
      <c r="C128" s="1" t="s">
        <v>23</v>
      </c>
      <c r="D128" s="1" t="s">
        <v>209</v>
      </c>
      <c r="E128" s="1" t="s">
        <v>67</v>
      </c>
      <c r="F128" s="1" t="s">
        <v>34</v>
      </c>
      <c r="G128" s="1" t="s">
        <v>205</v>
      </c>
      <c r="H128" s="1" t="s">
        <v>147</v>
      </c>
      <c r="I128" s="1" t="s">
        <v>205</v>
      </c>
      <c r="J128" s="1" t="s">
        <v>206</v>
      </c>
      <c r="K128" s="1" t="s">
        <v>206</v>
      </c>
      <c r="L128" s="1" t="s">
        <v>206</v>
      </c>
      <c r="M128" s="1" t="s">
        <v>34</v>
      </c>
      <c r="N128" s="1">
        <f t="shared" si="9"/>
        <v>16</v>
      </c>
    </row>
    <row r="129">
      <c r="A129" s="1" t="s">
        <v>86</v>
      </c>
      <c r="B129" s="1" t="str">
        <f t="shared" si="6"/>
        <v xml:space="preserve">15 Property</v>
      </c>
      <c r="C129" s="1" t="s">
        <v>23</v>
      </c>
      <c r="D129" s="1" t="s">
        <v>210</v>
      </c>
      <c r="E129" s="1" t="s">
        <v>16</v>
      </c>
      <c r="F129" s="1" t="s">
        <v>17</v>
      </c>
      <c r="G129" s="1" t="s">
        <v>211</v>
      </c>
      <c r="H129" s="1" t="s">
        <v>17</v>
      </c>
      <c r="I129" s="1" t="s">
        <v>211</v>
      </c>
      <c r="J129" s="1" t="s">
        <v>212</v>
      </c>
      <c r="K129" s="1" t="s">
        <v>212</v>
      </c>
      <c r="L129" s="1" t="s">
        <v>213</v>
      </c>
      <c r="M129" s="1" t="s">
        <v>17</v>
      </c>
      <c r="N129" s="1">
        <f t="shared" si="9"/>
        <v>17</v>
      </c>
    </row>
    <row r="130">
      <c r="A130" s="1" t="s">
        <v>86</v>
      </c>
      <c r="B130" s="1" t="str">
        <f t="shared" si="6"/>
        <v xml:space="preserve">15 Property</v>
      </c>
      <c r="C130" s="1" t="s">
        <v>23</v>
      </c>
      <c r="D130" s="5" t="s">
        <v>214</v>
      </c>
      <c r="E130" s="1"/>
      <c r="F130" s="1"/>
      <c r="G130" s="1"/>
      <c r="H130" s="1"/>
      <c r="I130" s="1"/>
      <c r="J130" s="1" t="s">
        <v>212</v>
      </c>
      <c r="K130" s="1" t="s">
        <v>212</v>
      </c>
      <c r="L130" s="1" t="s">
        <v>213</v>
      </c>
      <c r="M130" s="1" t="s">
        <v>17</v>
      </c>
      <c r="N130" s="1">
        <f t="shared" si="9"/>
        <v>17</v>
      </c>
    </row>
    <row r="131">
      <c r="A131" s="1" t="s">
        <v>86</v>
      </c>
      <c r="B131" s="1" t="str">
        <f t="shared" si="6"/>
        <v xml:space="preserve">15 Property</v>
      </c>
      <c r="C131" s="1" t="s">
        <v>23</v>
      </c>
      <c r="D131" s="1" t="s">
        <v>215</v>
      </c>
      <c r="E131" s="1" t="s">
        <v>16</v>
      </c>
      <c r="F131" s="1" t="s">
        <v>17</v>
      </c>
      <c r="G131" s="1" t="s">
        <v>211</v>
      </c>
      <c r="H131" s="1" t="s">
        <v>17</v>
      </c>
      <c r="I131" s="1" t="s">
        <v>211</v>
      </c>
      <c r="J131" s="1" t="s">
        <v>212</v>
      </c>
      <c r="K131" s="1" t="s">
        <v>212</v>
      </c>
      <c r="L131" s="1" t="s">
        <v>213</v>
      </c>
      <c r="M131" s="1" t="s">
        <v>17</v>
      </c>
      <c r="N131" s="1">
        <f t="shared" si="9"/>
        <v>17</v>
      </c>
    </row>
    <row r="132">
      <c r="A132" s="1" t="s">
        <v>86</v>
      </c>
      <c r="B132" s="1" t="str">
        <f t="shared" si="6"/>
        <v xml:space="preserve">15 Property</v>
      </c>
      <c r="C132" s="1" t="s">
        <v>23</v>
      </c>
      <c r="D132" s="1" t="s">
        <v>216</v>
      </c>
      <c r="E132" s="1" t="s">
        <v>16</v>
      </c>
      <c r="F132" s="1" t="s">
        <v>17</v>
      </c>
      <c r="G132" s="1" t="s">
        <v>211</v>
      </c>
      <c r="H132" s="1" t="s">
        <v>17</v>
      </c>
      <c r="I132" s="1" t="s">
        <v>211</v>
      </c>
      <c r="J132" s="1" t="s">
        <v>212</v>
      </c>
      <c r="K132" s="1" t="s">
        <v>212</v>
      </c>
      <c r="L132" s="1" t="s">
        <v>213</v>
      </c>
      <c r="M132" s="1" t="s">
        <v>17</v>
      </c>
      <c r="N132" s="1">
        <f t="shared" si="9"/>
        <v>17</v>
      </c>
    </row>
    <row r="133">
      <c r="A133" s="1" t="s">
        <v>86</v>
      </c>
      <c r="B133" s="1" t="str">
        <f t="shared" si="6"/>
        <v xml:space="preserve">15 Property</v>
      </c>
      <c r="C133" s="1" t="s">
        <v>23</v>
      </c>
      <c r="D133" s="1" t="s">
        <v>217</v>
      </c>
      <c r="E133" s="1" t="s">
        <v>16</v>
      </c>
      <c r="F133" s="1" t="s">
        <v>17</v>
      </c>
      <c r="G133" s="1" t="s">
        <v>211</v>
      </c>
      <c r="H133" s="1" t="s">
        <v>17</v>
      </c>
      <c r="I133" s="1" t="s">
        <v>211</v>
      </c>
      <c r="J133" s="1" t="s">
        <v>212</v>
      </c>
      <c r="K133" s="1" t="s">
        <v>212</v>
      </c>
      <c r="L133" s="1" t="s">
        <v>213</v>
      </c>
      <c r="M133" s="1" t="s">
        <v>17</v>
      </c>
      <c r="N133" s="1">
        <f t="shared" si="9"/>
        <v>17</v>
      </c>
    </row>
    <row r="134">
      <c r="A134" s="1" t="s">
        <v>86</v>
      </c>
      <c r="B134" s="1" t="str">
        <f t="shared" si="6"/>
        <v xml:space="preserve">15 Property</v>
      </c>
      <c r="C134" s="1" t="s">
        <v>23</v>
      </c>
      <c r="D134" s="1" t="s">
        <v>218</v>
      </c>
      <c r="E134" s="1" t="s">
        <v>16</v>
      </c>
      <c r="F134" s="1" t="s">
        <v>17</v>
      </c>
      <c r="G134" s="1" t="s">
        <v>211</v>
      </c>
      <c r="H134" s="1" t="s">
        <v>17</v>
      </c>
      <c r="I134" s="1" t="s">
        <v>211</v>
      </c>
      <c r="J134" s="1" t="s">
        <v>212</v>
      </c>
      <c r="K134" s="1" t="s">
        <v>212</v>
      </c>
      <c r="L134" s="1" t="s">
        <v>213</v>
      </c>
      <c r="M134" s="1" t="s">
        <v>17</v>
      </c>
      <c r="N134" s="1">
        <f t="shared" si="9"/>
        <v>17</v>
      </c>
    </row>
    <row r="135">
      <c r="A135" s="1" t="s">
        <v>86</v>
      </c>
      <c r="B135" s="1" t="str">
        <f t="shared" si="6"/>
        <v xml:space="preserve">15 Property</v>
      </c>
      <c r="C135" s="1" t="s">
        <v>23</v>
      </c>
      <c r="D135" s="1" t="s">
        <v>219</v>
      </c>
      <c r="E135" s="1" t="s">
        <v>16</v>
      </c>
      <c r="F135" s="1" t="s">
        <v>17</v>
      </c>
      <c r="G135" s="1" t="s">
        <v>211</v>
      </c>
      <c r="H135" s="1" t="s">
        <v>17</v>
      </c>
      <c r="I135" s="1" t="s">
        <v>211</v>
      </c>
      <c r="J135" s="1" t="s">
        <v>212</v>
      </c>
      <c r="K135" s="1" t="s">
        <v>212</v>
      </c>
      <c r="L135" s="1" t="s">
        <v>213</v>
      </c>
      <c r="M135" s="1" t="s">
        <v>17</v>
      </c>
      <c r="N135" s="1">
        <f t="shared" si="9"/>
        <v>17</v>
      </c>
    </row>
    <row r="136">
      <c r="A136" s="1" t="s">
        <v>86</v>
      </c>
      <c r="B136" s="1" t="str">
        <f t="shared" si="6"/>
        <v xml:space="preserve">15 Property</v>
      </c>
      <c r="C136" s="1" t="s">
        <v>23</v>
      </c>
      <c r="D136" s="1" t="s">
        <v>220</v>
      </c>
      <c r="E136" s="1" t="s">
        <v>16</v>
      </c>
      <c r="F136" s="1" t="s">
        <v>17</v>
      </c>
      <c r="G136" s="1" t="s">
        <v>211</v>
      </c>
      <c r="H136" s="1" t="s">
        <v>17</v>
      </c>
      <c r="I136" s="1" t="s">
        <v>211</v>
      </c>
      <c r="J136" s="1" t="s">
        <v>212</v>
      </c>
      <c r="K136" s="1" t="s">
        <v>212</v>
      </c>
      <c r="L136" s="1" t="s">
        <v>213</v>
      </c>
      <c r="M136" s="1" t="s">
        <v>17</v>
      </c>
      <c r="N136" s="1">
        <f t="shared" si="9"/>
        <v>17</v>
      </c>
    </row>
    <row r="137">
      <c r="A137" s="1" t="s">
        <v>86</v>
      </c>
      <c r="B137" s="1" t="str">
        <f t="shared" si="6"/>
        <v xml:space="preserve">15 Property</v>
      </c>
      <c r="C137" s="1" t="s">
        <v>23</v>
      </c>
      <c r="D137" s="1" t="s">
        <v>221</v>
      </c>
      <c r="E137" s="1" t="s">
        <v>16</v>
      </c>
      <c r="F137" s="1" t="s">
        <v>17</v>
      </c>
      <c r="G137" s="1" t="s">
        <v>211</v>
      </c>
      <c r="H137" s="1" t="s">
        <v>17</v>
      </c>
      <c r="I137" s="1" t="s">
        <v>211</v>
      </c>
      <c r="J137" s="1" t="s">
        <v>212</v>
      </c>
      <c r="K137" s="1" t="s">
        <v>212</v>
      </c>
      <c r="L137" s="1" t="s">
        <v>213</v>
      </c>
      <c r="M137" s="1" t="s">
        <v>17</v>
      </c>
      <c r="N137" s="1">
        <f t="shared" si="9"/>
        <v>17</v>
      </c>
    </row>
    <row r="138">
      <c r="A138" s="1" t="s">
        <v>86</v>
      </c>
      <c r="B138" s="1" t="str">
        <f t="shared" si="6"/>
        <v xml:space="preserve">15 Property</v>
      </c>
      <c r="C138" s="1" t="s">
        <v>23</v>
      </c>
      <c r="D138" s="1" t="s">
        <v>222</v>
      </c>
      <c r="E138" s="1" t="s">
        <v>16</v>
      </c>
      <c r="F138" s="1" t="s">
        <v>17</v>
      </c>
      <c r="G138" s="1" t="s">
        <v>211</v>
      </c>
      <c r="H138" s="1" t="s">
        <v>17</v>
      </c>
      <c r="I138" s="1" t="s">
        <v>211</v>
      </c>
      <c r="J138" s="1" t="s">
        <v>212</v>
      </c>
      <c r="K138" s="1" t="s">
        <v>212</v>
      </c>
      <c r="L138" s="1" t="s">
        <v>213</v>
      </c>
      <c r="M138" s="1" t="s">
        <v>17</v>
      </c>
      <c r="N138" s="1">
        <f t="shared" si="9"/>
        <v>17</v>
      </c>
    </row>
    <row r="139">
      <c r="A139" s="1" t="s">
        <v>86</v>
      </c>
      <c r="B139" s="1" t="str">
        <f t="shared" si="6"/>
        <v xml:space="preserve">15 Property</v>
      </c>
      <c r="C139" s="1" t="s">
        <v>23</v>
      </c>
      <c r="D139" s="1" t="s">
        <v>223</v>
      </c>
      <c r="E139" s="1" t="s">
        <v>16</v>
      </c>
      <c r="F139" s="1" t="s">
        <v>17</v>
      </c>
      <c r="G139" s="1" t="s">
        <v>211</v>
      </c>
      <c r="H139" s="1" t="s">
        <v>17</v>
      </c>
      <c r="I139" s="1" t="s">
        <v>211</v>
      </c>
      <c r="J139" s="1" t="s">
        <v>212</v>
      </c>
      <c r="K139" s="1" t="s">
        <v>212</v>
      </c>
      <c r="L139" s="1" t="s">
        <v>213</v>
      </c>
      <c r="M139" s="1" t="s">
        <v>17</v>
      </c>
      <c r="N139" s="1">
        <f t="shared" si="9"/>
        <v>17</v>
      </c>
    </row>
    <row r="140">
      <c r="A140" s="1" t="s">
        <v>86</v>
      </c>
      <c r="B140" s="1" t="str">
        <f t="shared" si="6"/>
        <v xml:space="preserve">15 Property</v>
      </c>
      <c r="C140" s="1" t="s">
        <v>23</v>
      </c>
      <c r="D140" s="1" t="s">
        <v>224</v>
      </c>
      <c r="E140" s="1" t="s">
        <v>16</v>
      </c>
      <c r="F140" s="1" t="s">
        <v>17</v>
      </c>
      <c r="G140" s="1" t="s">
        <v>211</v>
      </c>
      <c r="H140" s="1" t="s">
        <v>17</v>
      </c>
      <c r="I140" s="1" t="s">
        <v>211</v>
      </c>
      <c r="J140" s="1" t="s">
        <v>212</v>
      </c>
      <c r="K140" s="1" t="s">
        <v>212</v>
      </c>
      <c r="L140" s="1" t="s">
        <v>213</v>
      </c>
      <c r="M140" s="1" t="s">
        <v>17</v>
      </c>
      <c r="N140" s="1">
        <f t="shared" si="9"/>
        <v>17</v>
      </c>
    </row>
    <row r="141">
      <c r="A141" s="1" t="s">
        <v>86</v>
      </c>
      <c r="B141" s="1" t="str">
        <f t="shared" si="6"/>
        <v xml:space="preserve">15 Property</v>
      </c>
      <c r="C141" s="1" t="s">
        <v>23</v>
      </c>
      <c r="D141" s="1" t="s">
        <v>225</v>
      </c>
      <c r="E141" s="1" t="s">
        <v>16</v>
      </c>
      <c r="F141" s="1" t="s">
        <v>17</v>
      </c>
      <c r="G141" s="1" t="s">
        <v>211</v>
      </c>
      <c r="H141" s="1" t="s">
        <v>17</v>
      </c>
      <c r="I141" s="1" t="s">
        <v>211</v>
      </c>
      <c r="J141" s="1" t="s">
        <v>212</v>
      </c>
      <c r="K141" s="1" t="s">
        <v>212</v>
      </c>
      <c r="L141" s="1" t="s">
        <v>213</v>
      </c>
      <c r="M141" s="1" t="s">
        <v>17</v>
      </c>
      <c r="N141" s="1">
        <f t="shared" si="9"/>
        <v>17</v>
      </c>
    </row>
    <row r="142">
      <c r="A142" s="1" t="s">
        <v>86</v>
      </c>
      <c r="B142" s="1" t="str">
        <f t="shared" si="6"/>
        <v xml:space="preserve">15 Property</v>
      </c>
      <c r="C142" s="1" t="s">
        <v>23</v>
      </c>
      <c r="D142" s="1" t="s">
        <v>226</v>
      </c>
      <c r="E142" s="1" t="s">
        <v>16</v>
      </c>
      <c r="F142" s="1" t="s">
        <v>17</v>
      </c>
      <c r="G142" s="1" t="s">
        <v>211</v>
      </c>
      <c r="H142" s="1" t="s">
        <v>17</v>
      </c>
      <c r="I142" s="1" t="s">
        <v>211</v>
      </c>
      <c r="J142" s="1" t="s">
        <v>212</v>
      </c>
      <c r="K142" s="1" t="s">
        <v>212</v>
      </c>
      <c r="L142" s="1" t="s">
        <v>213</v>
      </c>
      <c r="M142" s="1" t="s">
        <v>17</v>
      </c>
      <c r="N142" s="1">
        <f t="shared" si="9"/>
        <v>17</v>
      </c>
    </row>
    <row r="143">
      <c r="A143" s="1" t="s">
        <v>86</v>
      </c>
      <c r="B143" s="1" t="str">
        <f t="shared" si="6"/>
        <v xml:space="preserve">15 Property</v>
      </c>
      <c r="C143" s="1" t="s">
        <v>23</v>
      </c>
      <c r="D143" s="1" t="s">
        <v>227</v>
      </c>
      <c r="E143" s="1" t="s">
        <v>16</v>
      </c>
      <c r="F143" s="1" t="s">
        <v>17</v>
      </c>
      <c r="G143" s="1" t="s">
        <v>211</v>
      </c>
      <c r="H143" s="1" t="s">
        <v>17</v>
      </c>
      <c r="I143" s="1" t="s">
        <v>211</v>
      </c>
      <c r="J143" s="1" t="s">
        <v>212</v>
      </c>
      <c r="K143" s="1" t="s">
        <v>212</v>
      </c>
      <c r="L143" s="1" t="s">
        <v>213</v>
      </c>
      <c r="M143" s="1" t="s">
        <v>17</v>
      </c>
      <c r="N143" s="1">
        <f t="shared" si="9"/>
        <v>17</v>
      </c>
    </row>
    <row r="144">
      <c r="A144" s="1" t="s">
        <v>86</v>
      </c>
      <c r="B144" s="1" t="str">
        <f t="shared" si="6"/>
        <v xml:space="preserve">15 Property</v>
      </c>
      <c r="C144" s="1" t="s">
        <v>23</v>
      </c>
      <c r="D144" s="1" t="s">
        <v>228</v>
      </c>
      <c r="E144" s="1" t="s">
        <v>16</v>
      </c>
      <c r="F144" s="1" t="s">
        <v>17</v>
      </c>
      <c r="G144" s="1" t="s">
        <v>211</v>
      </c>
      <c r="H144" s="1" t="s">
        <v>17</v>
      </c>
      <c r="I144" s="1" t="s">
        <v>211</v>
      </c>
      <c r="J144" s="1" t="s">
        <v>212</v>
      </c>
      <c r="K144" s="1" t="s">
        <v>212</v>
      </c>
      <c r="L144" s="1" t="s">
        <v>213</v>
      </c>
      <c r="M144" s="1" t="s">
        <v>17</v>
      </c>
      <c r="N144" s="1">
        <f t="shared" si="9"/>
        <v>17</v>
      </c>
    </row>
    <row r="145">
      <c r="A145" s="1" t="s">
        <v>86</v>
      </c>
      <c r="B145" s="1" t="str">
        <f t="shared" si="6"/>
        <v xml:space="preserve">15 Property</v>
      </c>
      <c r="C145" s="1" t="s">
        <v>23</v>
      </c>
      <c r="D145" s="1" t="s">
        <v>229</v>
      </c>
      <c r="E145" s="1" t="s">
        <v>16</v>
      </c>
      <c r="F145" s="1" t="s">
        <v>17</v>
      </c>
      <c r="G145" s="1" t="s">
        <v>211</v>
      </c>
      <c r="H145" s="1" t="s">
        <v>17</v>
      </c>
      <c r="I145" s="1" t="s">
        <v>211</v>
      </c>
      <c r="J145" s="1" t="s">
        <v>212</v>
      </c>
      <c r="K145" s="1" t="s">
        <v>212</v>
      </c>
      <c r="L145" s="1" t="s">
        <v>213</v>
      </c>
      <c r="M145" s="1" t="s">
        <v>17</v>
      </c>
      <c r="N145" s="1">
        <f t="shared" si="9"/>
        <v>17</v>
      </c>
    </row>
    <row r="146">
      <c r="A146" s="1" t="s">
        <v>86</v>
      </c>
      <c r="B146" s="1" t="str">
        <f t="shared" si="6"/>
        <v xml:space="preserve">15 Property</v>
      </c>
      <c r="C146" s="1" t="s">
        <v>23</v>
      </c>
      <c r="D146" s="1" t="s">
        <v>230</v>
      </c>
      <c r="E146" s="1" t="s">
        <v>16</v>
      </c>
      <c r="F146" s="1" t="s">
        <v>17</v>
      </c>
      <c r="G146" s="1" t="s">
        <v>211</v>
      </c>
      <c r="H146" s="1" t="s">
        <v>17</v>
      </c>
      <c r="I146" s="1" t="s">
        <v>211</v>
      </c>
      <c r="J146" s="1" t="s">
        <v>212</v>
      </c>
      <c r="K146" s="1" t="s">
        <v>212</v>
      </c>
      <c r="L146" s="1" t="s">
        <v>213</v>
      </c>
      <c r="M146" s="1" t="s">
        <v>17</v>
      </c>
      <c r="N146" s="1">
        <f t="shared" si="9"/>
        <v>17</v>
      </c>
    </row>
    <row r="147">
      <c r="A147" s="1" t="s">
        <v>86</v>
      </c>
      <c r="B147" s="1" t="str">
        <f t="shared" si="6"/>
        <v xml:space="preserve">15 Property</v>
      </c>
      <c r="C147" s="1" t="s">
        <v>23</v>
      </c>
      <c r="D147" s="1" t="s">
        <v>231</v>
      </c>
      <c r="E147" s="1" t="s">
        <v>16</v>
      </c>
      <c r="F147" s="1" t="s">
        <v>17</v>
      </c>
      <c r="G147" s="1" t="s">
        <v>211</v>
      </c>
      <c r="H147" s="1" t="s">
        <v>17</v>
      </c>
      <c r="I147" s="1" t="s">
        <v>211</v>
      </c>
      <c r="J147" s="1" t="s">
        <v>212</v>
      </c>
      <c r="K147" s="1" t="s">
        <v>212</v>
      </c>
      <c r="L147" s="1" t="s">
        <v>213</v>
      </c>
      <c r="M147" s="1" t="s">
        <v>17</v>
      </c>
      <c r="N147" s="1">
        <f t="shared" si="9"/>
        <v>17</v>
      </c>
    </row>
    <row r="148" s="12" customFormat="1">
      <c r="A148" s="1" t="s">
        <v>86</v>
      </c>
      <c r="B148" s="1" t="str">
        <f t="shared" si="6"/>
        <v xml:space="preserve">15 Property</v>
      </c>
      <c r="C148" s="1" t="s">
        <v>23</v>
      </c>
      <c r="D148" s="1" t="s">
        <v>232</v>
      </c>
      <c r="E148" s="1" t="s">
        <v>16</v>
      </c>
      <c r="F148" s="1" t="s">
        <v>17</v>
      </c>
      <c r="G148" s="1" t="s">
        <v>211</v>
      </c>
      <c r="H148" s="1" t="s">
        <v>17</v>
      </c>
      <c r="I148" s="1" t="s">
        <v>211</v>
      </c>
      <c r="J148" s="1" t="s">
        <v>212</v>
      </c>
      <c r="K148" s="1" t="s">
        <v>212</v>
      </c>
      <c r="L148" s="1" t="s">
        <v>213</v>
      </c>
      <c r="M148" s="1" t="s">
        <v>17</v>
      </c>
      <c r="N148" s="1">
        <f t="shared" si="9"/>
        <v>17</v>
      </c>
    </row>
    <row r="149">
      <c r="A149" s="1" t="s">
        <v>86</v>
      </c>
      <c r="B149" s="1" t="str">
        <f t="shared" si="6"/>
        <v xml:space="preserve">15 Property</v>
      </c>
      <c r="C149" s="1" t="s">
        <v>23</v>
      </c>
      <c r="D149" s="1" t="s">
        <v>233</v>
      </c>
      <c r="E149" s="1" t="s">
        <v>16</v>
      </c>
      <c r="F149" s="1" t="s">
        <v>17</v>
      </c>
      <c r="G149" s="1" t="s">
        <v>211</v>
      </c>
      <c r="H149" s="1" t="s">
        <v>17</v>
      </c>
      <c r="I149" s="1" t="s">
        <v>211</v>
      </c>
      <c r="J149" s="1" t="s">
        <v>212</v>
      </c>
      <c r="K149" s="1" t="s">
        <v>212</v>
      </c>
      <c r="L149" s="1" t="s">
        <v>213</v>
      </c>
      <c r="M149" s="1" t="s">
        <v>17</v>
      </c>
      <c r="N149" s="1">
        <f t="shared" si="9"/>
        <v>17</v>
      </c>
    </row>
    <row r="150">
      <c r="A150" s="1" t="s">
        <v>86</v>
      </c>
      <c r="B150" s="1" t="str">
        <f t="shared" si="6"/>
        <v xml:space="preserve">15 Property</v>
      </c>
      <c r="C150" s="1" t="s">
        <v>23</v>
      </c>
      <c r="D150" s="1" t="s">
        <v>234</v>
      </c>
      <c r="E150" s="1" t="s">
        <v>16</v>
      </c>
      <c r="F150" s="1" t="s">
        <v>17</v>
      </c>
      <c r="G150" s="1" t="s">
        <v>211</v>
      </c>
      <c r="H150" s="1" t="s">
        <v>17</v>
      </c>
      <c r="I150" s="1" t="s">
        <v>211</v>
      </c>
      <c r="J150" s="1" t="s">
        <v>212</v>
      </c>
      <c r="K150" s="1" t="s">
        <v>212</v>
      </c>
      <c r="L150" s="1" t="s">
        <v>213</v>
      </c>
      <c r="M150" s="1" t="s">
        <v>17</v>
      </c>
      <c r="N150" s="1">
        <f t="shared" si="9"/>
        <v>17</v>
      </c>
    </row>
    <row r="151">
      <c r="A151" s="1" t="s">
        <v>86</v>
      </c>
      <c r="B151" s="1" t="str">
        <f t="shared" si="6"/>
        <v xml:space="preserve">15 Property</v>
      </c>
      <c r="C151" s="1" t="s">
        <v>23</v>
      </c>
      <c r="D151" s="1" t="s">
        <v>235</v>
      </c>
      <c r="E151" s="1" t="s">
        <v>16</v>
      </c>
      <c r="F151" s="1" t="s">
        <v>17</v>
      </c>
      <c r="G151" s="1" t="s">
        <v>211</v>
      </c>
      <c r="H151" s="1" t="s">
        <v>17</v>
      </c>
      <c r="I151" s="1" t="s">
        <v>211</v>
      </c>
      <c r="J151" s="1" t="s">
        <v>212</v>
      </c>
      <c r="K151" s="1" t="s">
        <v>212</v>
      </c>
      <c r="L151" s="1" t="s">
        <v>213</v>
      </c>
      <c r="M151" s="1" t="s">
        <v>17</v>
      </c>
      <c r="N151" s="1">
        <f t="shared" si="9"/>
        <v>17</v>
      </c>
    </row>
    <row r="152">
      <c r="A152" s="1" t="s">
        <v>86</v>
      </c>
      <c r="B152" s="1" t="str">
        <f t="shared" si="6"/>
        <v xml:space="preserve">15 Property</v>
      </c>
      <c r="C152" s="1" t="s">
        <v>23</v>
      </c>
      <c r="D152" s="1" t="s">
        <v>236</v>
      </c>
      <c r="E152" s="1" t="s">
        <v>16</v>
      </c>
      <c r="F152" s="1" t="s">
        <v>17</v>
      </c>
      <c r="G152" s="1" t="s">
        <v>211</v>
      </c>
      <c r="H152" s="1" t="s">
        <v>17</v>
      </c>
      <c r="I152" s="1" t="s">
        <v>211</v>
      </c>
      <c r="J152" s="1" t="s">
        <v>212</v>
      </c>
      <c r="K152" s="1" t="s">
        <v>212</v>
      </c>
      <c r="L152" s="1" t="s">
        <v>213</v>
      </c>
      <c r="M152" s="1" t="s">
        <v>17</v>
      </c>
      <c r="N152" s="1">
        <f t="shared" si="9"/>
        <v>17</v>
      </c>
    </row>
    <row r="153">
      <c r="A153" s="1" t="s">
        <v>86</v>
      </c>
      <c r="B153" s="1" t="str">
        <f t="shared" si="6"/>
        <v xml:space="preserve">15 Property</v>
      </c>
      <c r="C153" s="1" t="s">
        <v>23</v>
      </c>
      <c r="D153" s="1" t="s">
        <v>237</v>
      </c>
      <c r="E153" s="1" t="s">
        <v>16</v>
      </c>
      <c r="F153" s="1" t="s">
        <v>17</v>
      </c>
      <c r="G153" s="1" t="s">
        <v>211</v>
      </c>
      <c r="H153" s="1" t="s">
        <v>17</v>
      </c>
      <c r="I153" s="1" t="s">
        <v>211</v>
      </c>
      <c r="J153" s="1" t="s">
        <v>212</v>
      </c>
      <c r="K153" s="1" t="s">
        <v>212</v>
      </c>
      <c r="L153" s="1" t="s">
        <v>213</v>
      </c>
      <c r="M153" s="1" t="s">
        <v>17</v>
      </c>
      <c r="N153" s="1">
        <f t="shared" si="9"/>
        <v>17</v>
      </c>
    </row>
    <row r="154">
      <c r="A154" s="1" t="s">
        <v>86</v>
      </c>
      <c r="B154" s="1" t="str">
        <f t="shared" si="6"/>
        <v xml:space="preserve">15 Property</v>
      </c>
      <c r="C154" s="1" t="s">
        <v>23</v>
      </c>
      <c r="D154" s="1" t="s">
        <v>238</v>
      </c>
      <c r="E154" s="1" t="s">
        <v>16</v>
      </c>
      <c r="F154" s="1" t="s">
        <v>17</v>
      </c>
      <c r="G154" s="1" t="s">
        <v>211</v>
      </c>
      <c r="H154" s="1" t="s">
        <v>17</v>
      </c>
      <c r="I154" s="1" t="s">
        <v>211</v>
      </c>
      <c r="J154" s="1" t="s">
        <v>212</v>
      </c>
      <c r="K154" s="1" t="s">
        <v>212</v>
      </c>
      <c r="L154" s="1" t="s">
        <v>213</v>
      </c>
      <c r="M154" s="1" t="s">
        <v>17</v>
      </c>
      <c r="N154" s="1">
        <f t="shared" si="9"/>
        <v>17</v>
      </c>
    </row>
    <row r="155">
      <c r="A155" s="1" t="s">
        <v>86</v>
      </c>
      <c r="B155" s="1" t="str">
        <f t="shared" si="6"/>
        <v xml:space="preserve">15 Property</v>
      </c>
      <c r="C155" s="1" t="s">
        <v>23</v>
      </c>
      <c r="D155" s="1" t="s">
        <v>239</v>
      </c>
      <c r="E155" s="1" t="s">
        <v>16</v>
      </c>
      <c r="F155" s="1" t="s">
        <v>17</v>
      </c>
      <c r="G155" s="1" t="s">
        <v>211</v>
      </c>
      <c r="H155" s="1" t="s">
        <v>17</v>
      </c>
      <c r="I155" s="1" t="s">
        <v>211</v>
      </c>
      <c r="J155" s="1" t="s">
        <v>212</v>
      </c>
      <c r="K155" s="1" t="s">
        <v>212</v>
      </c>
      <c r="L155" s="1" t="s">
        <v>213</v>
      </c>
      <c r="M155" s="1" t="s">
        <v>17</v>
      </c>
      <c r="N155" s="1">
        <f t="shared" si="9"/>
        <v>17</v>
      </c>
    </row>
    <row r="156">
      <c r="A156" s="1" t="s">
        <v>86</v>
      </c>
      <c r="B156" s="1" t="str">
        <f t="shared" si="6"/>
        <v xml:space="preserve">15 Property</v>
      </c>
      <c r="C156" s="1" t="s">
        <v>23</v>
      </c>
      <c r="D156" s="1" t="s">
        <v>240</v>
      </c>
      <c r="E156" s="1" t="s">
        <v>241</v>
      </c>
      <c r="F156" s="1" t="s">
        <v>17</v>
      </c>
      <c r="G156" s="1" t="s">
        <v>211</v>
      </c>
      <c r="H156" s="1" t="s">
        <v>241</v>
      </c>
      <c r="I156" s="1" t="s">
        <v>211</v>
      </c>
      <c r="J156" s="1" t="s">
        <v>212</v>
      </c>
      <c r="K156" s="1" t="s">
        <v>212</v>
      </c>
      <c r="L156" s="1" t="s">
        <v>213</v>
      </c>
      <c r="M156" s="1" t="s">
        <v>17</v>
      </c>
      <c r="N156" s="1">
        <f t="shared" si="9"/>
        <v>17</v>
      </c>
    </row>
    <row r="157">
      <c r="A157" s="1" t="s">
        <v>86</v>
      </c>
      <c r="B157" s="1" t="str">
        <f t="shared" si="6"/>
        <v xml:space="preserve">15 Property</v>
      </c>
      <c r="C157" s="1" t="s">
        <v>23</v>
      </c>
      <c r="D157" s="1" t="s">
        <v>242</v>
      </c>
      <c r="E157" s="1" t="s">
        <v>16</v>
      </c>
      <c r="F157" s="1" t="s">
        <v>17</v>
      </c>
      <c r="G157" s="1" t="s">
        <v>211</v>
      </c>
      <c r="H157" s="1" t="s">
        <v>17</v>
      </c>
      <c r="I157" s="1" t="s">
        <v>211</v>
      </c>
      <c r="J157" s="1" t="s">
        <v>212</v>
      </c>
      <c r="K157" s="1" t="s">
        <v>212</v>
      </c>
      <c r="L157" s="1" t="s">
        <v>213</v>
      </c>
      <c r="M157" s="1" t="s">
        <v>17</v>
      </c>
      <c r="N157" s="1">
        <f t="shared" si="9"/>
        <v>17</v>
      </c>
    </row>
    <row r="158">
      <c r="A158" s="1" t="s">
        <v>86</v>
      </c>
      <c r="B158" s="1" t="str">
        <f t="shared" si="6"/>
        <v xml:space="preserve">15 Property</v>
      </c>
      <c r="C158" s="1" t="s">
        <v>23</v>
      </c>
      <c r="D158" s="5" t="s">
        <v>243</v>
      </c>
      <c r="E158" s="1"/>
      <c r="F158" s="1"/>
      <c r="G158" s="1"/>
      <c r="H158" s="1"/>
      <c r="I158" s="1"/>
      <c r="J158" s="1" t="s">
        <v>212</v>
      </c>
      <c r="K158" s="1" t="s">
        <v>212</v>
      </c>
      <c r="L158" s="1" t="s">
        <v>213</v>
      </c>
      <c r="M158" s="1" t="s">
        <v>17</v>
      </c>
      <c r="N158" s="1">
        <f t="shared" si="9"/>
        <v>17</v>
      </c>
    </row>
    <row r="159">
      <c r="A159" s="1" t="s">
        <v>86</v>
      </c>
      <c r="B159" s="1" t="str">
        <f t="shared" si="6"/>
        <v xml:space="preserve">16 Finance</v>
      </c>
      <c r="C159" s="1" t="s">
        <v>23</v>
      </c>
      <c r="D159" s="5" t="s">
        <v>244</v>
      </c>
      <c r="E159" s="1"/>
      <c r="F159" s="1"/>
      <c r="G159" s="1"/>
      <c r="H159" s="1"/>
      <c r="I159" s="1"/>
      <c r="J159" s="1" t="s">
        <v>245</v>
      </c>
      <c r="K159" s="1" t="s">
        <v>245</v>
      </c>
      <c r="L159" s="1" t="s">
        <v>245</v>
      </c>
      <c r="M159" s="1" t="s">
        <v>17</v>
      </c>
      <c r="N159" s="1">
        <f t="shared" si="9"/>
        <v>18</v>
      </c>
    </row>
    <row r="160">
      <c r="A160" s="1" t="s">
        <v>86</v>
      </c>
      <c r="B160" s="1" t="str">
        <f t="shared" si="6"/>
        <v xml:space="preserve">16 Finance</v>
      </c>
      <c r="C160" s="1" t="s">
        <v>23</v>
      </c>
      <c r="D160" s="1" t="s">
        <v>246</v>
      </c>
      <c r="E160" s="1" t="s">
        <v>16</v>
      </c>
      <c r="F160" s="1" t="s">
        <v>17</v>
      </c>
      <c r="G160" s="1" t="s">
        <v>247</v>
      </c>
      <c r="H160" s="1" t="s">
        <v>17</v>
      </c>
      <c r="I160" s="1" t="s">
        <v>247</v>
      </c>
      <c r="J160" s="1" t="s">
        <v>245</v>
      </c>
      <c r="K160" s="1" t="s">
        <v>245</v>
      </c>
      <c r="L160" s="1" t="s">
        <v>245</v>
      </c>
      <c r="M160" s="1" t="s">
        <v>17</v>
      </c>
      <c r="N160" s="1">
        <f t="shared" si="9"/>
        <v>18</v>
      </c>
    </row>
    <row r="161">
      <c r="A161" s="1" t="s">
        <v>86</v>
      </c>
      <c r="B161" s="1" t="str">
        <f t="shared" si="6"/>
        <v xml:space="preserve">16 Finance</v>
      </c>
      <c r="C161" s="1" t="s">
        <v>23</v>
      </c>
      <c r="D161" s="1" t="s">
        <v>248</v>
      </c>
      <c r="E161" s="1" t="s">
        <v>25</v>
      </c>
      <c r="F161" s="1" t="s">
        <v>17</v>
      </c>
      <c r="G161" s="1" t="s">
        <v>247</v>
      </c>
      <c r="H161" s="1" t="s">
        <v>17</v>
      </c>
      <c r="I161" s="1" t="s">
        <v>247</v>
      </c>
      <c r="J161" s="1" t="s">
        <v>245</v>
      </c>
      <c r="K161" s="1" t="s">
        <v>245</v>
      </c>
      <c r="L161" s="1" t="s">
        <v>245</v>
      </c>
      <c r="M161" s="1" t="s">
        <v>17</v>
      </c>
      <c r="N161" s="1">
        <f t="shared" si="9"/>
        <v>18</v>
      </c>
    </row>
    <row r="162">
      <c r="A162" s="1" t="s">
        <v>86</v>
      </c>
      <c r="B162" s="1" t="str">
        <f t="shared" si="6"/>
        <v xml:space="preserve">16 Finance</v>
      </c>
      <c r="C162" s="1" t="s">
        <v>23</v>
      </c>
      <c r="D162" s="1" t="s">
        <v>249</v>
      </c>
      <c r="E162" s="1" t="s">
        <v>16</v>
      </c>
      <c r="F162" s="1" t="s">
        <v>17</v>
      </c>
      <c r="G162" s="1" t="s">
        <v>247</v>
      </c>
      <c r="H162" s="1" t="s">
        <v>17</v>
      </c>
      <c r="I162" s="1" t="s">
        <v>247</v>
      </c>
      <c r="J162" s="1" t="s">
        <v>245</v>
      </c>
      <c r="K162" s="1" t="s">
        <v>245</v>
      </c>
      <c r="L162" s="1" t="s">
        <v>245</v>
      </c>
      <c r="M162" s="1" t="s">
        <v>17</v>
      </c>
      <c r="N162" s="1">
        <f t="shared" si="9"/>
        <v>18</v>
      </c>
    </row>
    <row r="163">
      <c r="A163" s="1" t="s">
        <v>86</v>
      </c>
      <c r="B163" s="1" t="str">
        <f t="shared" si="6"/>
        <v xml:space="preserve">16 Finance</v>
      </c>
      <c r="C163" s="1" t="s">
        <v>23</v>
      </c>
      <c r="D163" t="s">
        <v>250</v>
      </c>
      <c r="E163" s="1" t="s">
        <v>16</v>
      </c>
      <c r="F163" s="1" t="s">
        <v>17</v>
      </c>
      <c r="G163" s="1" t="s">
        <v>247</v>
      </c>
      <c r="H163" s="1" t="s">
        <v>17</v>
      </c>
      <c r="I163" s="1" t="s">
        <v>247</v>
      </c>
      <c r="J163" s="1" t="s">
        <v>245</v>
      </c>
      <c r="K163" s="1" t="s">
        <v>245</v>
      </c>
      <c r="L163" s="1" t="s">
        <v>245</v>
      </c>
      <c r="M163" s="1" t="s">
        <v>17</v>
      </c>
      <c r="N163" s="1">
        <f t="shared" si="9"/>
        <v>18</v>
      </c>
    </row>
    <row r="164">
      <c r="A164" s="1" t="s">
        <v>86</v>
      </c>
      <c r="B164" s="1" t="str">
        <f t="shared" ref="B164:B227" si="10">J164</f>
        <v xml:space="preserve">16 Finance</v>
      </c>
      <c r="C164" s="1" t="s">
        <v>23</v>
      </c>
      <c r="D164" s="1" t="s">
        <v>251</v>
      </c>
      <c r="E164" s="1" t="s">
        <v>16</v>
      </c>
      <c r="F164" s="1" t="s">
        <v>17</v>
      </c>
      <c r="G164" s="1" t="s">
        <v>247</v>
      </c>
      <c r="H164" s="1" t="s">
        <v>17</v>
      </c>
      <c r="I164" s="1" t="s">
        <v>247</v>
      </c>
      <c r="J164" s="1" t="s">
        <v>245</v>
      </c>
      <c r="K164" s="1" t="s">
        <v>245</v>
      </c>
      <c r="L164" s="1" t="s">
        <v>245</v>
      </c>
      <c r="M164" s="1" t="s">
        <v>17</v>
      </c>
      <c r="N164" s="1">
        <f t="shared" si="9"/>
        <v>18</v>
      </c>
    </row>
    <row r="165">
      <c r="A165" s="1" t="s">
        <v>86</v>
      </c>
      <c r="B165" s="1" t="str">
        <f t="shared" si="10"/>
        <v xml:space="preserve">16 Finance</v>
      </c>
      <c r="C165" s="1" t="s">
        <v>23</v>
      </c>
      <c r="D165" s="1" t="s">
        <v>252</v>
      </c>
      <c r="E165" s="1" t="s">
        <v>16</v>
      </c>
      <c r="F165" s="1" t="s">
        <v>17</v>
      </c>
      <c r="G165" s="1" t="s">
        <v>247</v>
      </c>
      <c r="H165" s="1" t="s">
        <v>17</v>
      </c>
      <c r="I165" s="1" t="s">
        <v>247</v>
      </c>
      <c r="J165" s="1" t="s">
        <v>245</v>
      </c>
      <c r="K165" s="1" t="s">
        <v>245</v>
      </c>
      <c r="L165" s="1" t="s">
        <v>245</v>
      </c>
      <c r="M165" s="1" t="s">
        <v>17</v>
      </c>
      <c r="N165" s="1">
        <f t="shared" si="9"/>
        <v>18</v>
      </c>
    </row>
    <row r="166">
      <c r="A166" s="1" t="s">
        <v>86</v>
      </c>
      <c r="B166" s="1" t="str">
        <f t="shared" si="10"/>
        <v xml:space="preserve">16 Finance</v>
      </c>
      <c r="C166" s="1" t="s">
        <v>23</v>
      </c>
      <c r="D166" s="1" t="s">
        <v>253</v>
      </c>
      <c r="E166" s="1" t="s">
        <v>16</v>
      </c>
      <c r="F166" s="1" t="s">
        <v>17</v>
      </c>
      <c r="G166" s="1" t="s">
        <v>247</v>
      </c>
      <c r="H166" s="1" t="s">
        <v>17</v>
      </c>
      <c r="I166" s="1" t="s">
        <v>247</v>
      </c>
      <c r="J166" s="1" t="s">
        <v>245</v>
      </c>
      <c r="K166" s="1" t="s">
        <v>245</v>
      </c>
      <c r="L166" s="1" t="s">
        <v>245</v>
      </c>
      <c r="M166" s="1" t="s">
        <v>17</v>
      </c>
      <c r="N166" s="1">
        <f t="shared" si="9"/>
        <v>18</v>
      </c>
    </row>
    <row r="167">
      <c r="A167" s="1" t="s">
        <v>86</v>
      </c>
      <c r="B167" s="1" t="str">
        <f t="shared" si="10"/>
        <v xml:space="preserve">16 Finance</v>
      </c>
      <c r="C167" s="1" t="s">
        <v>23</v>
      </c>
      <c r="D167" s="1" t="s">
        <v>254</v>
      </c>
      <c r="E167" s="1" t="s">
        <v>16</v>
      </c>
      <c r="F167" s="1" t="s">
        <v>17</v>
      </c>
      <c r="G167" s="1" t="s">
        <v>247</v>
      </c>
      <c r="H167" s="1" t="s">
        <v>17</v>
      </c>
      <c r="I167" s="1" t="s">
        <v>247</v>
      </c>
      <c r="J167" s="1" t="s">
        <v>245</v>
      </c>
      <c r="K167" s="1" t="s">
        <v>245</v>
      </c>
      <c r="L167" s="1" t="s">
        <v>245</v>
      </c>
      <c r="M167" s="1" t="s">
        <v>17</v>
      </c>
      <c r="N167" s="1">
        <f t="shared" si="9"/>
        <v>18</v>
      </c>
    </row>
    <row r="168">
      <c r="A168" s="1" t="s">
        <v>86</v>
      </c>
      <c r="B168" s="1" t="str">
        <f t="shared" si="10"/>
        <v xml:space="preserve">16 Finance</v>
      </c>
      <c r="C168" s="1" t="s">
        <v>23</v>
      </c>
      <c r="D168" s="1" t="s">
        <v>255</v>
      </c>
      <c r="E168" s="1" t="s">
        <v>16</v>
      </c>
      <c r="F168" s="1" t="s">
        <v>17</v>
      </c>
      <c r="G168" s="1" t="s">
        <v>247</v>
      </c>
      <c r="H168" s="1" t="s">
        <v>17</v>
      </c>
      <c r="I168" s="1" t="s">
        <v>247</v>
      </c>
      <c r="J168" s="1" t="s">
        <v>245</v>
      </c>
      <c r="K168" s="1" t="s">
        <v>245</v>
      </c>
      <c r="L168" s="1" t="s">
        <v>245</v>
      </c>
      <c r="M168" s="1" t="s">
        <v>17</v>
      </c>
      <c r="N168" s="1">
        <f t="shared" si="9"/>
        <v>18</v>
      </c>
    </row>
    <row r="169">
      <c r="A169" s="1" t="s">
        <v>86</v>
      </c>
      <c r="B169" s="1" t="str">
        <f t="shared" si="10"/>
        <v xml:space="preserve">17 Archives</v>
      </c>
      <c r="C169" s="1" t="s">
        <v>23</v>
      </c>
      <c r="D169" s="1" t="s">
        <v>256</v>
      </c>
      <c r="E169" s="1" t="s">
        <v>16</v>
      </c>
      <c r="F169" s="1" t="s">
        <v>17</v>
      </c>
      <c r="G169" s="1" t="s">
        <v>257</v>
      </c>
      <c r="H169" s="1" t="s">
        <v>17</v>
      </c>
      <c r="I169" s="1" t="s">
        <v>257</v>
      </c>
      <c r="J169" s="1" t="s">
        <v>258</v>
      </c>
      <c r="K169" s="1" t="s">
        <v>258</v>
      </c>
      <c r="L169" s="1" t="s">
        <v>258</v>
      </c>
      <c r="M169" s="1" t="s">
        <v>128</v>
      </c>
      <c r="N169" s="1">
        <f t="shared" si="9"/>
        <v>19</v>
      </c>
    </row>
    <row r="170">
      <c r="A170" s="1" t="s">
        <v>86</v>
      </c>
      <c r="B170" s="1" t="str">
        <f t="shared" si="10"/>
        <v xml:space="preserve">17 Archives</v>
      </c>
      <c r="C170" s="1" t="s">
        <v>23</v>
      </c>
      <c r="D170" s="1" t="s">
        <v>259</v>
      </c>
      <c r="E170" s="1" t="s">
        <v>16</v>
      </c>
      <c r="F170" s="1" t="s">
        <v>17</v>
      </c>
      <c r="G170" s="1" t="s">
        <v>257</v>
      </c>
      <c r="H170" s="1" t="s">
        <v>17</v>
      </c>
      <c r="I170" s="1" t="s">
        <v>257</v>
      </c>
      <c r="J170" s="1" t="s">
        <v>258</v>
      </c>
      <c r="K170" s="1" t="s">
        <v>258</v>
      </c>
      <c r="L170" s="1" t="s">
        <v>258</v>
      </c>
      <c r="M170" s="1" t="s">
        <v>128</v>
      </c>
      <c r="N170" s="1">
        <f t="shared" si="9"/>
        <v>19</v>
      </c>
    </row>
    <row r="171">
      <c r="A171" s="1" t="s">
        <v>86</v>
      </c>
      <c r="B171" s="1" t="str">
        <f t="shared" si="10"/>
        <v xml:space="preserve">17 Archives</v>
      </c>
      <c r="C171" s="1" t="s">
        <v>23</v>
      </c>
      <c r="D171" s="5" t="s">
        <v>260</v>
      </c>
      <c r="E171" s="1"/>
      <c r="F171" s="1"/>
      <c r="G171" s="1"/>
      <c r="H171" s="1"/>
      <c r="I171" s="1"/>
      <c r="J171" s="1" t="s">
        <v>258</v>
      </c>
      <c r="K171" s="1" t="s">
        <v>258</v>
      </c>
      <c r="L171" s="1" t="s">
        <v>258</v>
      </c>
      <c r="M171" s="1" t="s">
        <v>128</v>
      </c>
      <c r="N171" s="1">
        <f t="shared" si="9"/>
        <v>19</v>
      </c>
    </row>
    <row r="172">
      <c r="A172" s="1" t="s">
        <v>86</v>
      </c>
      <c r="B172" s="1" t="str">
        <f t="shared" si="10"/>
        <v xml:space="preserve">17 Archives</v>
      </c>
      <c r="C172" s="1" t="s">
        <v>23</v>
      </c>
      <c r="D172" s="1" t="s">
        <v>261</v>
      </c>
      <c r="E172" s="1" t="s">
        <v>16</v>
      </c>
      <c r="F172" s="1" t="s">
        <v>17</v>
      </c>
      <c r="G172" s="1" t="s">
        <v>257</v>
      </c>
      <c r="H172" s="1" t="s">
        <v>17</v>
      </c>
      <c r="I172" s="1" t="s">
        <v>257</v>
      </c>
      <c r="J172" s="1" t="s">
        <v>258</v>
      </c>
      <c r="K172" s="1" t="s">
        <v>258</v>
      </c>
      <c r="L172" s="1" t="s">
        <v>258</v>
      </c>
      <c r="M172" s="1" t="s">
        <v>128</v>
      </c>
      <c r="N172" s="1">
        <f t="shared" si="9"/>
        <v>19</v>
      </c>
    </row>
    <row r="173">
      <c r="A173" s="1" t="s">
        <v>86</v>
      </c>
      <c r="B173" s="1" t="str">
        <f t="shared" si="10"/>
        <v xml:space="preserve">18 Administration</v>
      </c>
      <c r="C173" s="1" t="s">
        <v>23</v>
      </c>
      <c r="D173" s="13" t="s">
        <v>262</v>
      </c>
      <c r="E173" s="1" t="s">
        <v>16</v>
      </c>
      <c r="F173" s="1" t="s">
        <v>17</v>
      </c>
      <c r="G173" s="1" t="s">
        <v>263</v>
      </c>
      <c r="H173" s="1" t="s">
        <v>17</v>
      </c>
      <c r="I173" s="1" t="s">
        <v>263</v>
      </c>
      <c r="J173" s="1" t="s">
        <v>264</v>
      </c>
      <c r="K173" s="1" t="s">
        <v>264</v>
      </c>
      <c r="L173" s="1" t="s">
        <v>265</v>
      </c>
      <c r="M173" s="1" t="s">
        <v>17</v>
      </c>
      <c r="N173" s="1">
        <f t="shared" si="9"/>
        <v>20</v>
      </c>
    </row>
    <row r="174">
      <c r="A174" s="1" t="s">
        <v>86</v>
      </c>
      <c r="B174" s="1" t="str">
        <f t="shared" si="10"/>
        <v xml:space="preserve">18 Administration</v>
      </c>
      <c r="C174" s="1" t="s">
        <v>23</v>
      </c>
      <c r="D174" s="1" t="s">
        <v>266</v>
      </c>
      <c r="E174" s="1" t="s">
        <v>16</v>
      </c>
      <c r="F174" s="1" t="s">
        <v>17</v>
      </c>
      <c r="G174" s="1" t="s">
        <v>263</v>
      </c>
      <c r="H174" s="1" t="s">
        <v>17</v>
      </c>
      <c r="I174" s="1" t="s">
        <v>263</v>
      </c>
      <c r="J174" s="1" t="s">
        <v>264</v>
      </c>
      <c r="K174" s="1" t="s">
        <v>264</v>
      </c>
      <c r="L174" s="1" t="s">
        <v>265</v>
      </c>
      <c r="M174" s="1" t="s">
        <v>17</v>
      </c>
      <c r="N174" s="1">
        <f t="shared" si="9"/>
        <v>20</v>
      </c>
    </row>
    <row r="175">
      <c r="A175" s="1" t="s">
        <v>86</v>
      </c>
      <c r="B175" s="1" t="str">
        <f t="shared" si="10"/>
        <v xml:space="preserve">18 Administration</v>
      </c>
      <c r="C175" s="1" t="s">
        <v>23</v>
      </c>
      <c r="D175" s="1" t="s">
        <v>267</v>
      </c>
      <c r="E175" s="1" t="s">
        <v>16</v>
      </c>
      <c r="F175" s="1" t="s">
        <v>17</v>
      </c>
      <c r="G175" s="1" t="s">
        <v>263</v>
      </c>
      <c r="H175" s="1" t="s">
        <v>17</v>
      </c>
      <c r="I175" s="1" t="s">
        <v>263</v>
      </c>
      <c r="J175" s="1" t="s">
        <v>264</v>
      </c>
      <c r="K175" s="1" t="s">
        <v>264</v>
      </c>
      <c r="L175" s="1" t="s">
        <v>265</v>
      </c>
      <c r="M175" s="1" t="s">
        <v>17</v>
      </c>
      <c r="N175" s="1">
        <f t="shared" si="9"/>
        <v>20</v>
      </c>
    </row>
    <row r="176">
      <c r="A176" s="1" t="s">
        <v>86</v>
      </c>
      <c r="B176" s="1" t="str">
        <f t="shared" si="10"/>
        <v xml:space="preserve">18 Administration</v>
      </c>
      <c r="C176" s="1" t="s">
        <v>23</v>
      </c>
      <c r="D176" s="1" t="s">
        <v>268</v>
      </c>
      <c r="E176" s="1" t="s">
        <v>16</v>
      </c>
      <c r="F176" s="1" t="s">
        <v>17</v>
      </c>
      <c r="G176" s="1" t="s">
        <v>263</v>
      </c>
      <c r="H176" s="1" t="s">
        <v>17</v>
      </c>
      <c r="I176" s="1" t="s">
        <v>263</v>
      </c>
      <c r="J176" s="1" t="s">
        <v>264</v>
      </c>
      <c r="K176" s="1" t="s">
        <v>264</v>
      </c>
      <c r="L176" s="1" t="s">
        <v>265</v>
      </c>
      <c r="M176" s="1" t="s">
        <v>17</v>
      </c>
      <c r="N176" s="1">
        <f t="shared" si="9"/>
        <v>20</v>
      </c>
    </row>
    <row r="177">
      <c r="A177" s="1" t="s">
        <v>86</v>
      </c>
      <c r="B177" s="1" t="str">
        <f t="shared" si="10"/>
        <v xml:space="preserve">18 Administration</v>
      </c>
      <c r="C177" s="1" t="s">
        <v>23</v>
      </c>
      <c r="D177" s="1" t="s">
        <v>269</v>
      </c>
      <c r="E177" s="1" t="s">
        <v>16</v>
      </c>
      <c r="F177" s="1" t="s">
        <v>17</v>
      </c>
      <c r="G177" s="1" t="s">
        <v>263</v>
      </c>
      <c r="H177" s="1" t="s">
        <v>17</v>
      </c>
      <c r="I177" s="1" t="s">
        <v>263</v>
      </c>
      <c r="J177" s="1" t="s">
        <v>264</v>
      </c>
      <c r="K177" s="1" t="s">
        <v>264</v>
      </c>
      <c r="L177" s="1" t="s">
        <v>265</v>
      </c>
      <c r="M177" s="1" t="s">
        <v>17</v>
      </c>
      <c r="N177" s="1">
        <f t="shared" si="9"/>
        <v>20</v>
      </c>
    </row>
    <row r="178">
      <c r="A178" s="1" t="s">
        <v>86</v>
      </c>
      <c r="B178" s="1" t="str">
        <f t="shared" si="10"/>
        <v xml:space="preserve">18 Administration</v>
      </c>
      <c r="C178" s="1" t="s">
        <v>23</v>
      </c>
      <c r="D178" s="1" t="s">
        <v>270</v>
      </c>
      <c r="E178" s="1" t="s">
        <v>16</v>
      </c>
      <c r="F178" s="1" t="s">
        <v>17</v>
      </c>
      <c r="G178" s="1" t="s">
        <v>263</v>
      </c>
      <c r="H178" s="1" t="s">
        <v>17</v>
      </c>
      <c r="I178" s="1" t="s">
        <v>263</v>
      </c>
      <c r="J178" s="1" t="s">
        <v>264</v>
      </c>
      <c r="K178" s="1" t="s">
        <v>264</v>
      </c>
      <c r="L178" s="1" t="s">
        <v>265</v>
      </c>
      <c r="M178" s="1" t="s">
        <v>17</v>
      </c>
      <c r="N178" s="1">
        <f t="shared" si="9"/>
        <v>20</v>
      </c>
    </row>
    <row r="179">
      <c r="A179" s="1" t="s">
        <v>86</v>
      </c>
      <c r="B179" s="1" t="str">
        <f t="shared" si="10"/>
        <v xml:space="preserve">18 Administration</v>
      </c>
      <c r="C179" s="1" t="s">
        <v>23</v>
      </c>
      <c r="D179" s="1" t="s">
        <v>271</v>
      </c>
      <c r="E179" s="1" t="s">
        <v>16</v>
      </c>
      <c r="F179" s="1" t="s">
        <v>17</v>
      </c>
      <c r="G179" s="1" t="s">
        <v>263</v>
      </c>
      <c r="H179" s="1" t="s">
        <v>17</v>
      </c>
      <c r="I179" s="1" t="s">
        <v>263</v>
      </c>
      <c r="J179" s="1" t="s">
        <v>264</v>
      </c>
      <c r="K179" s="1" t="s">
        <v>264</v>
      </c>
      <c r="L179" s="1" t="s">
        <v>265</v>
      </c>
      <c r="M179" s="1" t="s">
        <v>17</v>
      </c>
      <c r="N179" s="1">
        <f t="shared" si="9"/>
        <v>20</v>
      </c>
    </row>
    <row r="180">
      <c r="A180" s="1" t="s">
        <v>86</v>
      </c>
      <c r="B180" s="1" t="str">
        <f t="shared" si="10"/>
        <v xml:space="preserve">18 Administration</v>
      </c>
      <c r="C180" s="1" t="s">
        <v>23</v>
      </c>
      <c r="D180" s="1" t="s">
        <v>272</v>
      </c>
      <c r="E180" s="1" t="s">
        <v>16</v>
      </c>
      <c r="F180" s="1" t="s">
        <v>17</v>
      </c>
      <c r="G180" s="1" t="s">
        <v>263</v>
      </c>
      <c r="H180" s="1" t="s">
        <v>17</v>
      </c>
      <c r="I180" s="1" t="s">
        <v>263</v>
      </c>
      <c r="J180" s="1" t="s">
        <v>264</v>
      </c>
      <c r="K180" s="1" t="s">
        <v>264</v>
      </c>
      <c r="L180" s="1" t="s">
        <v>265</v>
      </c>
      <c r="M180" s="1" t="s">
        <v>17</v>
      </c>
      <c r="N180" s="1">
        <f t="shared" si="9"/>
        <v>20</v>
      </c>
    </row>
    <row r="181">
      <c r="A181" s="1" t="s">
        <v>86</v>
      </c>
      <c r="B181" s="1" t="str">
        <f t="shared" si="10"/>
        <v xml:space="preserve">18 Administration</v>
      </c>
      <c r="C181" s="1" t="s">
        <v>23</v>
      </c>
      <c r="D181" s="1" t="s">
        <v>273</v>
      </c>
      <c r="E181" s="1" t="s">
        <v>16</v>
      </c>
      <c r="F181" s="1" t="s">
        <v>17</v>
      </c>
      <c r="G181" s="1" t="s">
        <v>263</v>
      </c>
      <c r="H181" s="1" t="s">
        <v>17</v>
      </c>
      <c r="I181" s="1" t="s">
        <v>263</v>
      </c>
      <c r="J181" s="1" t="s">
        <v>264</v>
      </c>
      <c r="K181" s="1" t="s">
        <v>264</v>
      </c>
      <c r="L181" s="1" t="s">
        <v>265</v>
      </c>
      <c r="M181" s="1" t="s">
        <v>17</v>
      </c>
      <c r="N181" s="1">
        <f t="shared" si="9"/>
        <v>20</v>
      </c>
    </row>
    <row r="182">
      <c r="A182" s="1" t="s">
        <v>86</v>
      </c>
      <c r="B182" s="1" t="str">
        <f t="shared" si="10"/>
        <v xml:space="preserve">18 Administration</v>
      </c>
      <c r="C182" s="1" t="s">
        <v>23</v>
      </c>
      <c r="D182" s="1" t="s">
        <v>274</v>
      </c>
      <c r="E182" s="1" t="s">
        <v>16</v>
      </c>
      <c r="F182" s="1" t="s">
        <v>17</v>
      </c>
      <c r="G182" s="1" t="s">
        <v>263</v>
      </c>
      <c r="H182" s="1" t="s">
        <v>17</v>
      </c>
      <c r="I182" s="1" t="s">
        <v>263</v>
      </c>
      <c r="J182" s="1" t="s">
        <v>264</v>
      </c>
      <c r="K182" s="1" t="s">
        <v>264</v>
      </c>
      <c r="L182" s="1" t="s">
        <v>265</v>
      </c>
      <c r="M182" s="1" t="s">
        <v>17</v>
      </c>
      <c r="N182" s="1">
        <f t="shared" si="9"/>
        <v>20</v>
      </c>
    </row>
    <row r="183">
      <c r="A183" s="1" t="s">
        <v>86</v>
      </c>
      <c r="B183" s="1" t="str">
        <f t="shared" si="10"/>
        <v xml:space="preserve">18 Administration</v>
      </c>
      <c r="C183" s="1" t="s">
        <v>23</v>
      </c>
      <c r="D183" s="1" t="s">
        <v>275</v>
      </c>
      <c r="E183" s="1" t="s">
        <v>16</v>
      </c>
      <c r="F183" s="1" t="s">
        <v>17</v>
      </c>
      <c r="G183" s="1" t="s">
        <v>263</v>
      </c>
      <c r="H183" s="1" t="s">
        <v>17</v>
      </c>
      <c r="I183" s="1" t="s">
        <v>263</v>
      </c>
      <c r="J183" s="1" t="s">
        <v>264</v>
      </c>
      <c r="K183" s="1" t="s">
        <v>264</v>
      </c>
      <c r="L183" s="1" t="s">
        <v>265</v>
      </c>
      <c r="M183" s="1" t="s">
        <v>17</v>
      </c>
      <c r="N183" s="1">
        <f t="shared" si="9"/>
        <v>20</v>
      </c>
    </row>
    <row r="184">
      <c r="A184" s="1" t="s">
        <v>86</v>
      </c>
      <c r="B184" s="1" t="str">
        <f t="shared" si="10"/>
        <v xml:space="preserve">18 Administration</v>
      </c>
      <c r="C184" s="1" t="s">
        <v>23</v>
      </c>
      <c r="D184" s="1" t="s">
        <v>276</v>
      </c>
      <c r="E184" s="1" t="s">
        <v>16</v>
      </c>
      <c r="F184" s="1" t="s">
        <v>17</v>
      </c>
      <c r="G184" s="1" t="s">
        <v>263</v>
      </c>
      <c r="H184" s="1" t="s">
        <v>17</v>
      </c>
      <c r="I184" s="1" t="s">
        <v>263</v>
      </c>
      <c r="J184" s="1" t="s">
        <v>264</v>
      </c>
      <c r="K184" s="1" t="s">
        <v>264</v>
      </c>
      <c r="L184" s="1" t="s">
        <v>265</v>
      </c>
      <c r="M184" s="1" t="s">
        <v>17</v>
      </c>
      <c r="N184" s="1">
        <f t="shared" si="9"/>
        <v>20</v>
      </c>
    </row>
    <row r="185">
      <c r="A185" s="1" t="s">
        <v>86</v>
      </c>
      <c r="B185" s="1" t="str">
        <f t="shared" si="10"/>
        <v xml:space="preserve">18 Administration</v>
      </c>
      <c r="C185" s="1" t="s">
        <v>23</v>
      </c>
      <c r="D185" s="1" t="s">
        <v>277</v>
      </c>
      <c r="E185" s="1" t="s">
        <v>16</v>
      </c>
      <c r="F185" s="1" t="s">
        <v>17</v>
      </c>
      <c r="G185" s="1" t="s">
        <v>263</v>
      </c>
      <c r="H185" s="1" t="s">
        <v>17</v>
      </c>
      <c r="I185" s="1" t="s">
        <v>263</v>
      </c>
      <c r="J185" s="1" t="s">
        <v>264</v>
      </c>
      <c r="K185" s="1" t="s">
        <v>264</v>
      </c>
      <c r="L185" s="1" t="s">
        <v>265</v>
      </c>
      <c r="M185" s="1" t="s">
        <v>17</v>
      </c>
      <c r="N185" s="1">
        <f t="shared" si="9"/>
        <v>20</v>
      </c>
    </row>
    <row r="186">
      <c r="A186" s="1" t="s">
        <v>86</v>
      </c>
      <c r="B186" s="1" t="str">
        <f t="shared" si="10"/>
        <v xml:space="preserve">18 Administration</v>
      </c>
      <c r="C186" s="1" t="s">
        <v>23</v>
      </c>
      <c r="D186" s="1" t="s">
        <v>278</v>
      </c>
      <c r="E186" s="1" t="s">
        <v>16</v>
      </c>
      <c r="F186" s="1" t="s">
        <v>17</v>
      </c>
      <c r="G186" s="1" t="s">
        <v>263</v>
      </c>
      <c r="H186" s="1" t="s">
        <v>17</v>
      </c>
      <c r="I186" s="1" t="s">
        <v>263</v>
      </c>
      <c r="J186" s="1" t="s">
        <v>264</v>
      </c>
      <c r="K186" s="1" t="s">
        <v>264</v>
      </c>
      <c r="L186" s="1" t="s">
        <v>265</v>
      </c>
      <c r="M186" s="1" t="s">
        <v>17</v>
      </c>
      <c r="N186" s="1">
        <f t="shared" si="9"/>
        <v>20</v>
      </c>
    </row>
    <row r="187">
      <c r="A187" s="1" t="s">
        <v>86</v>
      </c>
      <c r="B187" s="1" t="str">
        <f t="shared" si="10"/>
        <v xml:space="preserve">19 Communications</v>
      </c>
      <c r="C187" s="1" t="s">
        <v>23</v>
      </c>
      <c r="D187" s="1" t="s">
        <v>279</v>
      </c>
      <c r="E187" s="1" t="s">
        <v>16</v>
      </c>
      <c r="F187" s="1" t="s">
        <v>17</v>
      </c>
      <c r="G187" s="1" t="s">
        <v>280</v>
      </c>
      <c r="H187" s="1" t="s">
        <v>17</v>
      </c>
      <c r="I187" s="1" t="s">
        <v>280</v>
      </c>
      <c r="J187" s="1" t="s">
        <v>281</v>
      </c>
      <c r="K187" s="1" t="s">
        <v>281</v>
      </c>
      <c r="L187" s="1" t="s">
        <v>282</v>
      </c>
      <c r="M187" s="1" t="s">
        <v>17</v>
      </c>
      <c r="N187" s="1">
        <f t="shared" si="9"/>
        <v>21</v>
      </c>
    </row>
    <row r="188">
      <c r="A188" s="1" t="s">
        <v>86</v>
      </c>
      <c r="B188" s="1" t="str">
        <f t="shared" si="10"/>
        <v xml:space="preserve">19 Communications</v>
      </c>
      <c r="C188" s="1" t="s">
        <v>23</v>
      </c>
      <c r="D188" s="1" t="s">
        <v>283</v>
      </c>
      <c r="E188" s="1" t="s">
        <v>16</v>
      </c>
      <c r="F188" s="1" t="s">
        <v>17</v>
      </c>
      <c r="G188" s="1" t="s">
        <v>280</v>
      </c>
      <c r="H188" s="1" t="s">
        <v>17</v>
      </c>
      <c r="I188" s="1" t="s">
        <v>280</v>
      </c>
      <c r="J188" s="1" t="s">
        <v>281</v>
      </c>
      <c r="K188" s="1" t="s">
        <v>281</v>
      </c>
      <c r="L188" s="1" t="s">
        <v>282</v>
      </c>
      <c r="M188" s="1" t="s">
        <v>17</v>
      </c>
      <c r="N188" s="1">
        <f t="shared" si="9"/>
        <v>21</v>
      </c>
    </row>
    <row r="189">
      <c r="A189" s="1" t="s">
        <v>86</v>
      </c>
      <c r="B189" s="1" t="str">
        <f t="shared" si="10"/>
        <v xml:space="preserve">19 Communications</v>
      </c>
      <c r="C189" s="1" t="s">
        <v>23</v>
      </c>
      <c r="D189" s="1" t="s">
        <v>284</v>
      </c>
      <c r="E189" s="1" t="s">
        <v>16</v>
      </c>
      <c r="F189" s="1" t="s">
        <v>17</v>
      </c>
      <c r="G189" s="1" t="s">
        <v>280</v>
      </c>
      <c r="H189" s="1" t="s">
        <v>17</v>
      </c>
      <c r="I189" s="1" t="s">
        <v>280</v>
      </c>
      <c r="J189" s="1" t="s">
        <v>281</v>
      </c>
      <c r="K189" s="1" t="s">
        <v>281</v>
      </c>
      <c r="L189" s="1" t="s">
        <v>282</v>
      </c>
      <c r="M189" s="1" t="s">
        <v>17</v>
      </c>
      <c r="N189" s="1">
        <f t="shared" si="9"/>
        <v>21</v>
      </c>
    </row>
    <row r="190">
      <c r="A190" s="1" t="s">
        <v>86</v>
      </c>
      <c r="B190" s="1" t="str">
        <f t="shared" si="10"/>
        <v xml:space="preserve">19 Communications</v>
      </c>
      <c r="C190" s="1" t="s">
        <v>23</v>
      </c>
      <c r="D190" s="1" t="s">
        <v>285</v>
      </c>
      <c r="E190" s="1" t="s">
        <v>16</v>
      </c>
      <c r="F190" s="1" t="s">
        <v>17</v>
      </c>
      <c r="G190" s="1" t="s">
        <v>280</v>
      </c>
      <c r="H190" s="1" t="s">
        <v>17</v>
      </c>
      <c r="I190" s="1" t="s">
        <v>280</v>
      </c>
      <c r="J190" s="1" t="s">
        <v>281</v>
      </c>
      <c r="K190" s="1" t="s">
        <v>281</v>
      </c>
      <c r="L190" s="1" t="s">
        <v>282</v>
      </c>
      <c r="M190" s="1" t="s">
        <v>17</v>
      </c>
      <c r="N190" s="1">
        <f t="shared" ref="N190:N197" si="11">IF(B190=B189,N189,N189+1)</f>
        <v>21</v>
      </c>
    </row>
    <row r="191">
      <c r="A191" s="1" t="s">
        <v>86</v>
      </c>
      <c r="B191" s="1" t="str">
        <f t="shared" si="10"/>
        <v xml:space="preserve">19 Communications</v>
      </c>
      <c r="C191" s="1" t="s">
        <v>23</v>
      </c>
      <c r="D191" s="1" t="s">
        <v>286</v>
      </c>
      <c r="E191" s="1" t="s">
        <v>16</v>
      </c>
      <c r="F191" s="1" t="s">
        <v>17</v>
      </c>
      <c r="G191" s="1" t="s">
        <v>280</v>
      </c>
      <c r="H191" s="1" t="s">
        <v>17</v>
      </c>
      <c r="I191" s="1" t="s">
        <v>280</v>
      </c>
      <c r="J191" s="1" t="s">
        <v>281</v>
      </c>
      <c r="K191" s="1" t="s">
        <v>281</v>
      </c>
      <c r="L191" s="1" t="s">
        <v>282</v>
      </c>
      <c r="M191" s="1" t="s">
        <v>17</v>
      </c>
      <c r="N191" s="1">
        <f t="shared" si="11"/>
        <v>21</v>
      </c>
    </row>
    <row r="192">
      <c r="A192" s="1" t="s">
        <v>86</v>
      </c>
      <c r="B192" s="1" t="str">
        <f t="shared" si="10"/>
        <v xml:space="preserve">19 Communications</v>
      </c>
      <c r="C192" s="1" t="s">
        <v>23</v>
      </c>
      <c r="D192" s="1" t="s">
        <v>287</v>
      </c>
      <c r="E192" s="1" t="s">
        <v>16</v>
      </c>
      <c r="F192" s="1" t="s">
        <v>17</v>
      </c>
      <c r="G192" s="1" t="s">
        <v>280</v>
      </c>
      <c r="H192" s="1" t="s">
        <v>17</v>
      </c>
      <c r="I192" s="1" t="s">
        <v>280</v>
      </c>
      <c r="J192" s="1" t="s">
        <v>281</v>
      </c>
      <c r="K192" s="1" t="s">
        <v>281</v>
      </c>
      <c r="L192" s="1" t="s">
        <v>282</v>
      </c>
      <c r="M192" s="1" t="s">
        <v>17</v>
      </c>
      <c r="N192" s="1">
        <f t="shared" si="11"/>
        <v>21</v>
      </c>
    </row>
    <row r="193">
      <c r="A193" s="1" t="s">
        <v>86</v>
      </c>
      <c r="B193" s="1" t="str">
        <f t="shared" si="10"/>
        <v xml:space="preserve">20 Personnel</v>
      </c>
      <c r="C193" s="1" t="str">
        <f t="shared" ref="C193:C236" si="12">L193</f>
        <v>Office</v>
      </c>
      <c r="D193" s="1" t="s">
        <v>288</v>
      </c>
      <c r="E193" s="1" t="s">
        <v>16</v>
      </c>
      <c r="F193" s="1" t="s">
        <v>91</v>
      </c>
      <c r="G193" s="1" t="s">
        <v>263</v>
      </c>
      <c r="H193" s="1" t="s">
        <v>91</v>
      </c>
      <c r="I193" s="1" t="s">
        <v>263</v>
      </c>
      <c r="J193" s="1" t="s">
        <v>289</v>
      </c>
      <c r="K193" s="1" t="s">
        <v>289</v>
      </c>
      <c r="L193" s="1" t="str">
        <f t="shared" ref="L193:L236" si="13">G193</f>
        <v>Office</v>
      </c>
      <c r="M193" s="1" t="s">
        <v>91</v>
      </c>
      <c r="N193" s="1">
        <f t="shared" si="11"/>
        <v>22</v>
      </c>
    </row>
    <row r="194">
      <c r="A194" s="1" t="s">
        <v>86</v>
      </c>
      <c r="B194" s="1" t="str">
        <f t="shared" si="10"/>
        <v xml:space="preserve">20 Personnel</v>
      </c>
      <c r="C194" s="1" t="str">
        <f t="shared" si="12"/>
        <v>Office</v>
      </c>
      <c r="D194" s="1" t="s">
        <v>290</v>
      </c>
      <c r="E194" s="1" t="s">
        <v>16</v>
      </c>
      <c r="F194" s="1" t="s">
        <v>91</v>
      </c>
      <c r="G194" s="1" t="s">
        <v>263</v>
      </c>
      <c r="H194" s="1" t="s">
        <v>91</v>
      </c>
      <c r="I194" s="1" t="s">
        <v>263</v>
      </c>
      <c r="J194" s="1" t="s">
        <v>289</v>
      </c>
      <c r="K194" s="1" t="s">
        <v>289</v>
      </c>
      <c r="L194" s="1" t="str">
        <f t="shared" si="13"/>
        <v>Office</v>
      </c>
      <c r="M194" s="1" t="s">
        <v>91</v>
      </c>
      <c r="N194" s="1">
        <f t="shared" si="11"/>
        <v>22</v>
      </c>
    </row>
    <row r="195">
      <c r="A195" s="1" t="s">
        <v>86</v>
      </c>
      <c r="B195" s="1" t="str">
        <f t="shared" si="10"/>
        <v xml:space="preserve">20 Personnel</v>
      </c>
      <c r="C195" s="1" t="str">
        <f t="shared" si="12"/>
        <v>Office</v>
      </c>
      <c r="D195" s="1" t="s">
        <v>291</v>
      </c>
      <c r="E195" s="1" t="s">
        <v>16</v>
      </c>
      <c r="F195" s="1" t="s">
        <v>91</v>
      </c>
      <c r="G195" s="1" t="s">
        <v>263</v>
      </c>
      <c r="H195" s="1" t="s">
        <v>91</v>
      </c>
      <c r="I195" s="1" t="s">
        <v>263</v>
      </c>
      <c r="J195" s="1" t="s">
        <v>289</v>
      </c>
      <c r="K195" s="1" t="s">
        <v>289</v>
      </c>
      <c r="L195" s="1" t="str">
        <f t="shared" si="13"/>
        <v>Office</v>
      </c>
      <c r="M195" s="1" t="s">
        <v>91</v>
      </c>
      <c r="N195" s="1">
        <f t="shared" si="11"/>
        <v>22</v>
      </c>
    </row>
    <row r="196">
      <c r="A196" s="1" t="s">
        <v>86</v>
      </c>
      <c r="B196" s="1" t="str">
        <f t="shared" si="10"/>
        <v xml:space="preserve">20 Personnel</v>
      </c>
      <c r="C196" s="1" t="str">
        <f t="shared" si="12"/>
        <v>Office</v>
      </c>
      <c r="D196" s="1" t="s">
        <v>292</v>
      </c>
      <c r="E196" s="1" t="s">
        <v>16</v>
      </c>
      <c r="F196" s="1" t="s">
        <v>91</v>
      </c>
      <c r="G196" s="1" t="s">
        <v>263</v>
      </c>
      <c r="H196" s="1" t="s">
        <v>91</v>
      </c>
      <c r="I196" s="1" t="s">
        <v>263</v>
      </c>
      <c r="J196" s="1" t="s">
        <v>289</v>
      </c>
      <c r="K196" s="1" t="s">
        <v>289</v>
      </c>
      <c r="L196" s="1" t="str">
        <f t="shared" si="13"/>
        <v>Office</v>
      </c>
      <c r="M196" s="1" t="s">
        <v>91</v>
      </c>
      <c r="N196" s="1">
        <f t="shared" si="11"/>
        <v>22</v>
      </c>
    </row>
    <row r="197">
      <c r="A197" s="1" t="s">
        <v>86</v>
      </c>
      <c r="B197" s="1" t="str">
        <f t="shared" si="10"/>
        <v xml:space="preserve">20 Personnel</v>
      </c>
      <c r="C197" s="1" t="str">
        <f t="shared" si="12"/>
        <v>Office</v>
      </c>
      <c r="D197" s="1" t="s">
        <v>293</v>
      </c>
      <c r="E197" s="7" t="s">
        <v>58</v>
      </c>
      <c r="F197" s="1" t="s">
        <v>91</v>
      </c>
      <c r="G197" s="1" t="s">
        <v>263</v>
      </c>
      <c r="H197" s="1" t="s">
        <v>91</v>
      </c>
      <c r="I197" s="1" t="s">
        <v>263</v>
      </c>
      <c r="J197" s="1" t="s">
        <v>289</v>
      </c>
      <c r="K197" s="1" t="s">
        <v>289</v>
      </c>
      <c r="L197" s="1" t="str">
        <f t="shared" si="13"/>
        <v>Office</v>
      </c>
      <c r="M197" s="1" t="s">
        <v>91</v>
      </c>
      <c r="N197" s="1">
        <f t="shared" si="11"/>
        <v>22</v>
      </c>
    </row>
    <row r="198">
      <c r="A198" s="1" t="s">
        <v>86</v>
      </c>
      <c r="B198" s="1" t="str">
        <f t="shared" si="10"/>
        <v xml:space="preserve">20 Personnel</v>
      </c>
      <c r="C198" s="1" t="str">
        <f t="shared" si="12"/>
        <v xml:space="preserve">Sr. Pastor</v>
      </c>
      <c r="D198" s="1" t="s">
        <v>294</v>
      </c>
      <c r="E198" s="1" t="s">
        <v>16</v>
      </c>
      <c r="F198" s="1" t="s">
        <v>91</v>
      </c>
      <c r="G198" s="1" t="s">
        <v>295</v>
      </c>
      <c r="H198" s="1" t="s">
        <v>91</v>
      </c>
      <c r="I198" s="1" t="s">
        <v>295</v>
      </c>
      <c r="J198" s="1" t="s">
        <v>289</v>
      </c>
      <c r="K198" s="1" t="s">
        <v>289</v>
      </c>
      <c r="L198" s="1" t="str">
        <f t="shared" si="13"/>
        <v xml:space="preserve">Sr. Pastor</v>
      </c>
      <c r="M198" s="1" t="s">
        <v>91</v>
      </c>
      <c r="N198" s="1">
        <f t="shared" ref="N198:N199" si="14">IF(B198=B195,N195,N195+1)</f>
        <v>22</v>
      </c>
    </row>
    <row r="199">
      <c r="A199" s="1" t="s">
        <v>86</v>
      </c>
      <c r="B199" s="1" t="str">
        <f t="shared" si="10"/>
        <v xml:space="preserve">20 Personnel</v>
      </c>
      <c r="C199" s="1" t="str">
        <f t="shared" si="12"/>
        <v xml:space="preserve">Sr. Pastor</v>
      </c>
      <c r="D199" s="1" t="s">
        <v>296</v>
      </c>
      <c r="E199" s="1" t="s">
        <v>16</v>
      </c>
      <c r="F199" s="1" t="s">
        <v>91</v>
      </c>
      <c r="G199" s="1" t="s">
        <v>295</v>
      </c>
      <c r="H199" s="1" t="s">
        <v>91</v>
      </c>
      <c r="I199" s="1" t="s">
        <v>295</v>
      </c>
      <c r="J199" s="1" t="s">
        <v>289</v>
      </c>
      <c r="K199" s="1" t="s">
        <v>289</v>
      </c>
      <c r="L199" s="1" t="str">
        <f t="shared" si="13"/>
        <v xml:space="preserve">Sr. Pastor</v>
      </c>
      <c r="M199" s="1" t="s">
        <v>91</v>
      </c>
      <c r="N199" s="1">
        <f t="shared" si="14"/>
        <v>22</v>
      </c>
    </row>
    <row r="200">
      <c r="A200" s="1" t="s">
        <v>86</v>
      </c>
      <c r="B200" s="1" t="str">
        <f t="shared" si="10"/>
        <v xml:space="preserve">20 Personnel</v>
      </c>
      <c r="C200" s="1" t="str">
        <f t="shared" si="12"/>
        <v xml:space="preserve">Sr. Pastor</v>
      </c>
      <c r="D200" s="1" t="s">
        <v>297</v>
      </c>
      <c r="E200" s="1" t="s">
        <v>16</v>
      </c>
      <c r="F200" s="1" t="s">
        <v>91</v>
      </c>
      <c r="G200" s="1" t="s">
        <v>295</v>
      </c>
      <c r="H200" s="1" t="s">
        <v>91</v>
      </c>
      <c r="I200" s="1" t="s">
        <v>295</v>
      </c>
      <c r="J200" s="1" t="s">
        <v>289</v>
      </c>
      <c r="K200" s="1" t="s">
        <v>289</v>
      </c>
      <c r="L200" s="1" t="str">
        <f t="shared" si="13"/>
        <v xml:space="preserve">Sr. Pastor</v>
      </c>
      <c r="M200" s="1" t="s">
        <v>91</v>
      </c>
      <c r="N200" s="1">
        <f t="shared" ref="N200:N244" si="15">IF(B200=B199,N199,N199+1)</f>
        <v>22</v>
      </c>
    </row>
    <row r="201">
      <c r="A201" s="1" t="s">
        <v>86</v>
      </c>
      <c r="B201" s="1" t="str">
        <f t="shared" si="10"/>
        <v xml:space="preserve">20 Personnel</v>
      </c>
      <c r="C201" s="1" t="str">
        <f t="shared" si="12"/>
        <v xml:space="preserve">Sr. Pastor</v>
      </c>
      <c r="D201" s="1" t="s">
        <v>298</v>
      </c>
      <c r="E201" s="1" t="s">
        <v>16</v>
      </c>
      <c r="F201" s="1" t="s">
        <v>91</v>
      </c>
      <c r="G201" s="1" t="s">
        <v>295</v>
      </c>
      <c r="H201" s="1" t="s">
        <v>91</v>
      </c>
      <c r="I201" s="1" t="s">
        <v>295</v>
      </c>
      <c r="J201" s="1" t="s">
        <v>289</v>
      </c>
      <c r="K201" s="1" t="s">
        <v>289</v>
      </c>
      <c r="L201" s="1" t="str">
        <f t="shared" si="13"/>
        <v xml:space="preserve">Sr. Pastor</v>
      </c>
      <c r="M201" s="1" t="s">
        <v>91</v>
      </c>
      <c r="N201" s="1">
        <f t="shared" si="15"/>
        <v>22</v>
      </c>
    </row>
    <row r="202">
      <c r="A202" s="1" t="s">
        <v>86</v>
      </c>
      <c r="B202" s="1" t="str">
        <f t="shared" si="10"/>
        <v xml:space="preserve">20 Personnel</v>
      </c>
      <c r="C202" s="1" t="str">
        <f t="shared" si="12"/>
        <v xml:space="preserve">Sr. Pastor</v>
      </c>
      <c r="D202" s="1" t="s">
        <v>299</v>
      </c>
      <c r="E202" s="1" t="s">
        <v>16</v>
      </c>
      <c r="F202" s="1" t="s">
        <v>91</v>
      </c>
      <c r="G202" s="1" t="s">
        <v>295</v>
      </c>
      <c r="H202" s="1" t="s">
        <v>91</v>
      </c>
      <c r="I202" s="1" t="s">
        <v>295</v>
      </c>
      <c r="J202" s="1" t="s">
        <v>289</v>
      </c>
      <c r="K202" s="1" t="s">
        <v>289</v>
      </c>
      <c r="L202" s="1" t="str">
        <f t="shared" si="13"/>
        <v xml:space="preserve">Sr. Pastor</v>
      </c>
      <c r="M202" s="1" t="s">
        <v>91</v>
      </c>
      <c r="N202" s="1">
        <f t="shared" si="15"/>
        <v>22</v>
      </c>
    </row>
    <row r="203">
      <c r="A203" s="1" t="s">
        <v>86</v>
      </c>
      <c r="B203" s="1" t="str">
        <f t="shared" si="10"/>
        <v xml:space="preserve">20 Personnel</v>
      </c>
      <c r="C203" s="1" t="str">
        <f t="shared" si="12"/>
        <v xml:space="preserve">Sr. Pastor</v>
      </c>
      <c r="D203" s="1" t="s">
        <v>300</v>
      </c>
      <c r="E203" s="1" t="s">
        <v>16</v>
      </c>
      <c r="F203" s="1" t="s">
        <v>91</v>
      </c>
      <c r="G203" s="1" t="s">
        <v>295</v>
      </c>
      <c r="H203" s="1" t="s">
        <v>91</v>
      </c>
      <c r="I203" s="1" t="s">
        <v>295</v>
      </c>
      <c r="J203" s="1" t="s">
        <v>289</v>
      </c>
      <c r="K203" s="1" t="s">
        <v>289</v>
      </c>
      <c r="L203" s="1" t="str">
        <f t="shared" si="13"/>
        <v xml:space="preserve">Sr. Pastor</v>
      </c>
      <c r="M203" s="1" t="s">
        <v>91</v>
      </c>
      <c r="N203" s="1">
        <f t="shared" si="15"/>
        <v>22</v>
      </c>
    </row>
    <row r="204">
      <c r="A204" s="1" t="s">
        <v>86</v>
      </c>
      <c r="B204" s="1" t="str">
        <f t="shared" si="10"/>
        <v xml:space="preserve">20 Personnel</v>
      </c>
      <c r="C204" s="1" t="str">
        <f t="shared" si="12"/>
        <v xml:space="preserve">Sr. Pastor</v>
      </c>
      <c r="D204" s="1" t="s">
        <v>301</v>
      </c>
      <c r="E204" s="1" t="s">
        <v>16</v>
      </c>
      <c r="F204" s="1" t="s">
        <v>91</v>
      </c>
      <c r="G204" s="1" t="s">
        <v>295</v>
      </c>
      <c r="H204" s="1" t="s">
        <v>91</v>
      </c>
      <c r="I204" s="1" t="s">
        <v>295</v>
      </c>
      <c r="J204" s="1" t="s">
        <v>289</v>
      </c>
      <c r="K204" s="1" t="s">
        <v>289</v>
      </c>
      <c r="L204" s="1" t="str">
        <f t="shared" si="13"/>
        <v xml:space="preserve">Sr. Pastor</v>
      </c>
      <c r="M204" s="1" t="s">
        <v>91</v>
      </c>
      <c r="N204" s="1">
        <f t="shared" si="15"/>
        <v>22</v>
      </c>
    </row>
    <row r="205" ht="14.25">
      <c r="A205" s="1" t="s">
        <v>86</v>
      </c>
      <c r="B205" s="1" t="str">
        <f t="shared" si="10"/>
        <v xml:space="preserve">20 Personnel</v>
      </c>
      <c r="C205" s="1" t="str">
        <f t="shared" si="12"/>
        <v xml:space="preserve">Sr. Pastor</v>
      </c>
      <c r="D205" s="11" t="s">
        <v>302</v>
      </c>
      <c r="E205" s="1" t="s">
        <v>16</v>
      </c>
      <c r="F205" s="1" t="s">
        <v>91</v>
      </c>
      <c r="G205" s="1" t="s">
        <v>295</v>
      </c>
      <c r="H205" s="1" t="s">
        <v>91</v>
      </c>
      <c r="I205" s="1" t="s">
        <v>295</v>
      </c>
      <c r="J205" s="1" t="s">
        <v>289</v>
      </c>
      <c r="K205" s="1" t="s">
        <v>289</v>
      </c>
      <c r="L205" s="1" t="str">
        <f t="shared" si="13"/>
        <v xml:space="preserve">Sr. Pastor</v>
      </c>
      <c r="M205" s="1" t="s">
        <v>91</v>
      </c>
      <c r="N205" s="1">
        <f t="shared" si="15"/>
        <v>22</v>
      </c>
    </row>
    <row r="206" ht="14.25">
      <c r="A206" s="1" t="s">
        <v>86</v>
      </c>
      <c r="B206" s="1" t="str">
        <f t="shared" si="10"/>
        <v xml:space="preserve">20 Personnel</v>
      </c>
      <c r="C206" s="1" t="str">
        <f t="shared" si="12"/>
        <v xml:space="preserve">Pastoral Search</v>
      </c>
      <c r="D206" s="14" t="s">
        <v>303</v>
      </c>
      <c r="E206" s="1" t="s">
        <v>16</v>
      </c>
      <c r="F206" s="1" t="s">
        <v>91</v>
      </c>
      <c r="G206" s="1" t="s">
        <v>304</v>
      </c>
      <c r="H206" s="1" t="s">
        <v>91</v>
      </c>
      <c r="I206" s="1" t="s">
        <v>304</v>
      </c>
      <c r="J206" s="1" t="s">
        <v>289</v>
      </c>
      <c r="K206" s="1" t="s">
        <v>289</v>
      </c>
      <c r="L206" s="1" t="str">
        <f t="shared" si="13"/>
        <v xml:space="preserve">Pastoral Search</v>
      </c>
      <c r="M206" s="1" t="s">
        <v>91</v>
      </c>
      <c r="N206" s="1">
        <f t="shared" si="15"/>
        <v>22</v>
      </c>
    </row>
    <row r="207">
      <c r="A207" s="1" t="s">
        <v>86</v>
      </c>
      <c r="B207" s="1" t="str">
        <f t="shared" si="10"/>
        <v xml:space="preserve">20 Personnel</v>
      </c>
      <c r="C207" s="1" t="str">
        <f t="shared" si="12"/>
        <v>Maintenance</v>
      </c>
      <c r="D207" s="1" t="s">
        <v>305</v>
      </c>
      <c r="E207" s="1" t="s">
        <v>16</v>
      </c>
      <c r="F207" s="1" t="s">
        <v>91</v>
      </c>
      <c r="G207" s="1" t="s">
        <v>306</v>
      </c>
      <c r="H207" s="1" t="s">
        <v>91</v>
      </c>
      <c r="I207" s="1" t="s">
        <v>306</v>
      </c>
      <c r="J207" s="1" t="s">
        <v>289</v>
      </c>
      <c r="K207" s="1" t="s">
        <v>289</v>
      </c>
      <c r="L207" s="1" t="str">
        <f t="shared" si="13"/>
        <v>Maintenance</v>
      </c>
      <c r="M207" s="1" t="s">
        <v>91</v>
      </c>
      <c r="N207" s="1">
        <f t="shared" si="15"/>
        <v>22</v>
      </c>
    </row>
    <row r="208">
      <c r="A208" s="1" t="s">
        <v>86</v>
      </c>
      <c r="B208" s="1" t="str">
        <f t="shared" si="10"/>
        <v xml:space="preserve">20 Personnel</v>
      </c>
      <c r="C208" s="1" t="str">
        <f t="shared" si="12"/>
        <v>Maintenance</v>
      </c>
      <c r="D208" s="1" t="s">
        <v>307</v>
      </c>
      <c r="E208" s="1" t="s">
        <v>16</v>
      </c>
      <c r="F208" s="1" t="s">
        <v>91</v>
      </c>
      <c r="G208" s="1" t="s">
        <v>306</v>
      </c>
      <c r="H208" s="1" t="s">
        <v>91</v>
      </c>
      <c r="I208" s="1" t="s">
        <v>306</v>
      </c>
      <c r="J208" s="1" t="s">
        <v>289</v>
      </c>
      <c r="K208" s="1" t="s">
        <v>289</v>
      </c>
      <c r="L208" s="1" t="str">
        <f t="shared" si="13"/>
        <v>Maintenance</v>
      </c>
      <c r="M208" s="1" t="s">
        <v>91</v>
      </c>
      <c r="N208" s="1">
        <f t="shared" si="15"/>
        <v>22</v>
      </c>
    </row>
    <row r="209">
      <c r="A209" s="1" t="s">
        <v>86</v>
      </c>
      <c r="B209" s="1" t="str">
        <f t="shared" si="10"/>
        <v xml:space="preserve">20 Personnel</v>
      </c>
      <c r="C209" s="1" t="str">
        <f t="shared" si="12"/>
        <v>Maintenance</v>
      </c>
      <c r="D209" s="1" t="s">
        <v>308</v>
      </c>
      <c r="E209" s="1" t="s">
        <v>16</v>
      </c>
      <c r="F209" s="1" t="s">
        <v>91</v>
      </c>
      <c r="G209" s="1" t="s">
        <v>306</v>
      </c>
      <c r="H209" s="1" t="s">
        <v>91</v>
      </c>
      <c r="I209" s="1" t="s">
        <v>306</v>
      </c>
      <c r="J209" s="1" t="s">
        <v>289</v>
      </c>
      <c r="K209" s="1" t="s">
        <v>289</v>
      </c>
      <c r="L209" s="1" t="str">
        <f t="shared" si="13"/>
        <v>Maintenance</v>
      </c>
      <c r="M209" s="1" t="s">
        <v>91</v>
      </c>
      <c r="N209" s="1">
        <f t="shared" si="15"/>
        <v>22</v>
      </c>
    </row>
    <row r="210">
      <c r="A210" s="1" t="s">
        <v>86</v>
      </c>
      <c r="B210" s="1" t="str">
        <f t="shared" si="10"/>
        <v xml:space="preserve">20 Personnel</v>
      </c>
      <c r="C210" s="1" t="str">
        <f t="shared" si="12"/>
        <v>Maintenance</v>
      </c>
      <c r="D210" s="1" t="s">
        <v>309</v>
      </c>
      <c r="E210" s="1" t="s">
        <v>16</v>
      </c>
      <c r="F210" s="1" t="s">
        <v>91</v>
      </c>
      <c r="G210" s="1" t="s">
        <v>306</v>
      </c>
      <c r="H210" s="1" t="s">
        <v>91</v>
      </c>
      <c r="I210" s="1" t="s">
        <v>306</v>
      </c>
      <c r="J210" s="1" t="s">
        <v>289</v>
      </c>
      <c r="K210" s="1" t="s">
        <v>289</v>
      </c>
      <c r="L210" s="1" t="str">
        <f t="shared" si="13"/>
        <v>Maintenance</v>
      </c>
      <c r="M210" s="1" t="s">
        <v>91</v>
      </c>
      <c r="N210" s="1">
        <f t="shared" si="15"/>
        <v>22</v>
      </c>
    </row>
    <row r="211">
      <c r="A211" s="1" t="s">
        <v>86</v>
      </c>
      <c r="B211" s="1" t="str">
        <f t="shared" si="10"/>
        <v xml:space="preserve">20 Personnel</v>
      </c>
      <c r="C211" s="1" t="str">
        <f t="shared" si="12"/>
        <v>Maintenance</v>
      </c>
      <c r="D211" s="1" t="s">
        <v>310</v>
      </c>
      <c r="E211" s="7" t="s">
        <v>58</v>
      </c>
      <c r="F211" s="1" t="s">
        <v>91</v>
      </c>
      <c r="G211" s="1" t="s">
        <v>306</v>
      </c>
      <c r="H211" s="1" t="s">
        <v>91</v>
      </c>
      <c r="I211" s="1" t="s">
        <v>306</v>
      </c>
      <c r="J211" s="1" t="s">
        <v>289</v>
      </c>
      <c r="K211" s="1" t="s">
        <v>289</v>
      </c>
      <c r="L211" s="1" t="str">
        <f t="shared" si="13"/>
        <v>Maintenance</v>
      </c>
      <c r="M211" s="1" t="s">
        <v>91</v>
      </c>
      <c r="N211" s="1">
        <f t="shared" si="15"/>
        <v>22</v>
      </c>
    </row>
    <row r="212">
      <c r="A212" s="1" t="s">
        <v>86</v>
      </c>
      <c r="B212" s="1" t="str">
        <f t="shared" si="10"/>
        <v xml:space="preserve">20 Personnel</v>
      </c>
      <c r="C212" s="1" t="str">
        <f t="shared" si="12"/>
        <v>Maintenance</v>
      </c>
      <c r="D212" t="s">
        <v>311</v>
      </c>
      <c r="E212" s="1" t="s">
        <v>16</v>
      </c>
      <c r="F212" s="1" t="s">
        <v>91</v>
      </c>
      <c r="G212" s="1" t="s">
        <v>306</v>
      </c>
      <c r="H212" s="1" t="s">
        <v>91</v>
      </c>
      <c r="I212" s="1" t="s">
        <v>306</v>
      </c>
      <c r="J212" s="1" t="s">
        <v>289</v>
      </c>
      <c r="K212" s="1" t="s">
        <v>289</v>
      </c>
      <c r="L212" s="1" t="str">
        <f t="shared" si="13"/>
        <v>Maintenance</v>
      </c>
      <c r="M212" s="1" t="s">
        <v>91</v>
      </c>
      <c r="N212" s="1">
        <f t="shared" si="15"/>
        <v>22</v>
      </c>
    </row>
    <row r="213">
      <c r="A213" s="1" t="s">
        <v>86</v>
      </c>
      <c r="B213" s="1" t="str">
        <f t="shared" si="10"/>
        <v xml:space="preserve">20 Personnel</v>
      </c>
      <c r="C213" s="1" t="str">
        <f t="shared" si="12"/>
        <v>Music</v>
      </c>
      <c r="D213" s="1" t="s">
        <v>312</v>
      </c>
      <c r="E213" s="1" t="s">
        <v>16</v>
      </c>
      <c r="F213" s="1" t="s">
        <v>91</v>
      </c>
      <c r="G213" s="1" t="s">
        <v>313</v>
      </c>
      <c r="H213" s="1" t="s">
        <v>91</v>
      </c>
      <c r="I213" s="1" t="s">
        <v>313</v>
      </c>
      <c r="J213" s="1" t="s">
        <v>289</v>
      </c>
      <c r="K213" s="1" t="s">
        <v>289</v>
      </c>
      <c r="L213" s="1" t="str">
        <f t="shared" si="13"/>
        <v>Music</v>
      </c>
      <c r="M213" s="1" t="s">
        <v>91</v>
      </c>
      <c r="N213" s="1">
        <f t="shared" si="15"/>
        <v>22</v>
      </c>
    </row>
    <row r="214">
      <c r="A214" s="1" t="s">
        <v>86</v>
      </c>
      <c r="B214" s="1" t="str">
        <f t="shared" si="10"/>
        <v xml:space="preserve">20 Personnel</v>
      </c>
      <c r="C214" s="1" t="str">
        <f t="shared" si="12"/>
        <v>Music</v>
      </c>
      <c r="D214" s="1" t="s">
        <v>314</v>
      </c>
      <c r="E214" s="1" t="s">
        <v>16</v>
      </c>
      <c r="F214" s="1" t="s">
        <v>91</v>
      </c>
      <c r="G214" s="1" t="s">
        <v>313</v>
      </c>
      <c r="H214" s="1" t="s">
        <v>91</v>
      </c>
      <c r="I214" s="1" t="s">
        <v>313</v>
      </c>
      <c r="J214" s="1" t="s">
        <v>289</v>
      </c>
      <c r="K214" s="1" t="s">
        <v>289</v>
      </c>
      <c r="L214" s="1" t="str">
        <f t="shared" si="13"/>
        <v>Music</v>
      </c>
      <c r="M214" s="1" t="s">
        <v>91</v>
      </c>
      <c r="N214" s="1">
        <f t="shared" si="15"/>
        <v>22</v>
      </c>
    </row>
    <row r="215">
      <c r="A215" s="1" t="s">
        <v>86</v>
      </c>
      <c r="B215" s="1" t="str">
        <f t="shared" si="10"/>
        <v xml:space="preserve">20 Personnel</v>
      </c>
      <c r="C215" s="1" t="str">
        <f t="shared" si="12"/>
        <v xml:space="preserve">Assoc. Pastor</v>
      </c>
      <c r="D215" s="1" t="s">
        <v>315</v>
      </c>
      <c r="E215" s="1" t="s">
        <v>16</v>
      </c>
      <c r="F215" s="1" t="s">
        <v>91</v>
      </c>
      <c r="G215" s="1" t="s">
        <v>316</v>
      </c>
      <c r="H215" s="1" t="s">
        <v>91</v>
      </c>
      <c r="I215" s="1" t="s">
        <v>316</v>
      </c>
      <c r="J215" s="1" t="s">
        <v>289</v>
      </c>
      <c r="K215" s="1" t="s">
        <v>289</v>
      </c>
      <c r="L215" s="1" t="str">
        <f t="shared" si="13"/>
        <v xml:space="preserve">Assoc. Pastor</v>
      </c>
      <c r="M215" s="1" t="s">
        <v>91</v>
      </c>
      <c r="N215" s="1">
        <f t="shared" si="15"/>
        <v>22</v>
      </c>
    </row>
    <row r="216">
      <c r="A216" s="1" t="s">
        <v>86</v>
      </c>
      <c r="B216" s="1" t="str">
        <f t="shared" si="10"/>
        <v xml:space="preserve">20 Personnel</v>
      </c>
      <c r="C216" s="1" t="str">
        <f t="shared" si="12"/>
        <v xml:space="preserve">Assoc. Pastor</v>
      </c>
      <c r="D216" s="1" t="s">
        <v>317</v>
      </c>
      <c r="E216" s="1" t="s">
        <v>16</v>
      </c>
      <c r="F216" s="1" t="s">
        <v>91</v>
      </c>
      <c r="G216" s="1" t="s">
        <v>316</v>
      </c>
      <c r="H216" s="1" t="s">
        <v>91</v>
      </c>
      <c r="I216" s="1" t="s">
        <v>316</v>
      </c>
      <c r="J216" s="1" t="s">
        <v>289</v>
      </c>
      <c r="K216" s="1" t="s">
        <v>289</v>
      </c>
      <c r="L216" s="1" t="str">
        <f t="shared" si="13"/>
        <v xml:space="preserve">Assoc. Pastor</v>
      </c>
      <c r="M216" s="1" t="s">
        <v>91</v>
      </c>
      <c r="N216" s="1">
        <f t="shared" si="15"/>
        <v>22</v>
      </c>
    </row>
    <row r="217">
      <c r="A217" s="1" t="s">
        <v>86</v>
      </c>
      <c r="B217" s="1" t="str">
        <f t="shared" si="10"/>
        <v xml:space="preserve">20 Personnel</v>
      </c>
      <c r="C217" s="1" t="str">
        <f t="shared" si="12"/>
        <v xml:space="preserve">Assoc. Pastor</v>
      </c>
      <c r="D217" s="1" t="s">
        <v>318</v>
      </c>
      <c r="E217" s="1" t="s">
        <v>16</v>
      </c>
      <c r="F217" s="1" t="s">
        <v>91</v>
      </c>
      <c r="G217" s="1" t="s">
        <v>316</v>
      </c>
      <c r="H217" s="1" t="s">
        <v>91</v>
      </c>
      <c r="I217" s="1" t="s">
        <v>316</v>
      </c>
      <c r="J217" s="1" t="s">
        <v>289</v>
      </c>
      <c r="K217" s="1" t="s">
        <v>289</v>
      </c>
      <c r="L217" s="1" t="str">
        <f t="shared" si="13"/>
        <v xml:space="preserve">Assoc. Pastor</v>
      </c>
      <c r="M217" s="1" t="s">
        <v>91</v>
      </c>
      <c r="N217" s="1">
        <f t="shared" si="15"/>
        <v>22</v>
      </c>
    </row>
    <row r="218">
      <c r="A218" s="1" t="s">
        <v>86</v>
      </c>
      <c r="B218" s="1" t="str">
        <f t="shared" si="10"/>
        <v xml:space="preserve">20 Personnel</v>
      </c>
      <c r="C218" s="1" t="str">
        <f t="shared" si="12"/>
        <v xml:space="preserve">Assoc. Pastor</v>
      </c>
      <c r="D218" s="1" t="s">
        <v>319</v>
      </c>
      <c r="E218" s="1" t="s">
        <v>16</v>
      </c>
      <c r="F218" s="1" t="s">
        <v>91</v>
      </c>
      <c r="G218" s="1" t="s">
        <v>316</v>
      </c>
      <c r="H218" s="1" t="s">
        <v>91</v>
      </c>
      <c r="I218" s="1" t="s">
        <v>316</v>
      </c>
      <c r="J218" s="1" t="s">
        <v>289</v>
      </c>
      <c r="K218" s="1" t="s">
        <v>289</v>
      </c>
      <c r="L218" s="1" t="str">
        <f t="shared" si="13"/>
        <v xml:space="preserve">Assoc. Pastor</v>
      </c>
      <c r="M218" s="1" t="s">
        <v>91</v>
      </c>
      <c r="N218" s="1">
        <f t="shared" si="15"/>
        <v>22</v>
      </c>
    </row>
    <row r="219">
      <c r="A219" s="1" t="s">
        <v>86</v>
      </c>
      <c r="B219" s="1" t="str">
        <f t="shared" si="10"/>
        <v xml:space="preserve">20 Personnel</v>
      </c>
      <c r="C219" s="1" t="str">
        <f t="shared" si="12"/>
        <v xml:space="preserve">Assoc. Pastor</v>
      </c>
      <c r="D219" s="1" t="s">
        <v>320</v>
      </c>
      <c r="E219" s="1" t="s">
        <v>16</v>
      </c>
      <c r="F219" s="1" t="s">
        <v>91</v>
      </c>
      <c r="G219" s="1" t="s">
        <v>316</v>
      </c>
      <c r="H219" s="1" t="s">
        <v>91</v>
      </c>
      <c r="I219" s="1" t="s">
        <v>316</v>
      </c>
      <c r="J219" s="1" t="s">
        <v>289</v>
      </c>
      <c r="K219" s="1" t="s">
        <v>289</v>
      </c>
      <c r="L219" s="1" t="str">
        <f t="shared" si="13"/>
        <v xml:space="preserve">Assoc. Pastor</v>
      </c>
      <c r="M219" s="1" t="s">
        <v>91</v>
      </c>
      <c r="N219" s="1">
        <f t="shared" si="15"/>
        <v>22</v>
      </c>
    </row>
    <row r="220">
      <c r="A220" s="1" t="s">
        <v>86</v>
      </c>
      <c r="B220" s="1" t="str">
        <f t="shared" si="10"/>
        <v xml:space="preserve">20 Personnel</v>
      </c>
      <c r="C220" s="1" t="str">
        <f t="shared" si="12"/>
        <v xml:space="preserve">Assoc. Pastor</v>
      </c>
      <c r="D220" s="1" t="s">
        <v>321</v>
      </c>
      <c r="E220" s="1" t="s">
        <v>16</v>
      </c>
      <c r="F220" s="1" t="s">
        <v>91</v>
      </c>
      <c r="G220" s="1" t="s">
        <v>316</v>
      </c>
      <c r="H220" s="1" t="s">
        <v>91</v>
      </c>
      <c r="I220" s="1" t="s">
        <v>316</v>
      </c>
      <c r="J220" s="1" t="s">
        <v>289</v>
      </c>
      <c r="K220" s="1" t="s">
        <v>289</v>
      </c>
      <c r="L220" s="1" t="str">
        <f t="shared" si="13"/>
        <v xml:space="preserve">Assoc. Pastor</v>
      </c>
      <c r="M220" s="1" t="s">
        <v>91</v>
      </c>
      <c r="N220" s="1">
        <f t="shared" si="15"/>
        <v>22</v>
      </c>
    </row>
    <row r="221">
      <c r="A221" s="1" t="s">
        <v>86</v>
      </c>
      <c r="B221" s="1" t="str">
        <f t="shared" si="10"/>
        <v xml:space="preserve">20 Personnel</v>
      </c>
      <c r="C221" s="1" t="str">
        <f t="shared" si="12"/>
        <v xml:space="preserve">Assoc. Pastor</v>
      </c>
      <c r="D221" s="1" t="s">
        <v>322</v>
      </c>
      <c r="E221" s="1" t="s">
        <v>16</v>
      </c>
      <c r="F221" s="1" t="s">
        <v>91</v>
      </c>
      <c r="G221" s="1" t="s">
        <v>316</v>
      </c>
      <c r="H221" s="1" t="s">
        <v>91</v>
      </c>
      <c r="I221" s="1" t="s">
        <v>316</v>
      </c>
      <c r="J221" s="1" t="s">
        <v>289</v>
      </c>
      <c r="K221" s="1" t="s">
        <v>289</v>
      </c>
      <c r="L221" s="1" t="str">
        <f t="shared" si="13"/>
        <v xml:space="preserve">Assoc. Pastor</v>
      </c>
      <c r="M221" s="1" t="s">
        <v>91</v>
      </c>
      <c r="N221" s="1">
        <f t="shared" si="15"/>
        <v>22</v>
      </c>
    </row>
    <row r="222">
      <c r="A222" s="1" t="s">
        <v>86</v>
      </c>
      <c r="B222" s="1" t="str">
        <f t="shared" si="10"/>
        <v xml:space="preserve">20 Personnel</v>
      </c>
      <c r="C222" s="1" t="str">
        <f t="shared" si="12"/>
        <v xml:space="preserve">Assoc. Pastor</v>
      </c>
      <c r="D222" s="1" t="s">
        <v>323</v>
      </c>
      <c r="E222" s="1" t="s">
        <v>16</v>
      </c>
      <c r="F222" s="1" t="s">
        <v>91</v>
      </c>
      <c r="G222" s="1" t="s">
        <v>316</v>
      </c>
      <c r="H222" s="1" t="s">
        <v>91</v>
      </c>
      <c r="I222" s="1" t="s">
        <v>316</v>
      </c>
      <c r="J222" s="1" t="s">
        <v>289</v>
      </c>
      <c r="K222" s="1" t="s">
        <v>289</v>
      </c>
      <c r="L222" s="1" t="str">
        <f t="shared" si="13"/>
        <v xml:space="preserve">Assoc. Pastor</v>
      </c>
      <c r="M222" s="1" t="s">
        <v>91</v>
      </c>
      <c r="N222" s="1">
        <f t="shared" si="15"/>
        <v>22</v>
      </c>
    </row>
    <row r="223">
      <c r="A223" s="1" t="s">
        <v>86</v>
      </c>
      <c r="B223" s="1" t="str">
        <f t="shared" si="10"/>
        <v xml:space="preserve">20 Personnel</v>
      </c>
      <c r="C223" s="1" t="str">
        <f t="shared" si="12"/>
        <v xml:space="preserve">Youth Ed</v>
      </c>
      <c r="D223" s="1" t="s">
        <v>324</v>
      </c>
      <c r="E223" s="1" t="s">
        <v>16</v>
      </c>
      <c r="F223" s="1" t="s">
        <v>91</v>
      </c>
      <c r="G223" s="1" t="s">
        <v>125</v>
      </c>
      <c r="H223" s="1" t="s">
        <v>91</v>
      </c>
      <c r="I223" s="1" t="s">
        <v>125</v>
      </c>
      <c r="J223" s="1" t="s">
        <v>289</v>
      </c>
      <c r="K223" s="1" t="s">
        <v>289</v>
      </c>
      <c r="L223" s="1" t="str">
        <f t="shared" si="13"/>
        <v xml:space="preserve">Youth Ed</v>
      </c>
      <c r="M223" s="1" t="s">
        <v>91</v>
      </c>
      <c r="N223" s="1">
        <f t="shared" si="15"/>
        <v>22</v>
      </c>
    </row>
    <row r="224">
      <c r="A224" s="1" t="s">
        <v>86</v>
      </c>
      <c r="B224" s="1" t="str">
        <f t="shared" si="10"/>
        <v xml:space="preserve">20 Personnel</v>
      </c>
      <c r="C224" s="1" t="str">
        <f t="shared" si="12"/>
        <v xml:space="preserve">Youth Ed</v>
      </c>
      <c r="D224" s="1" t="s">
        <v>325</v>
      </c>
      <c r="E224" s="1" t="s">
        <v>16</v>
      </c>
      <c r="F224" s="1" t="s">
        <v>91</v>
      </c>
      <c r="G224" s="1" t="s">
        <v>125</v>
      </c>
      <c r="H224" s="1" t="s">
        <v>91</v>
      </c>
      <c r="I224" s="1" t="s">
        <v>125</v>
      </c>
      <c r="J224" s="1" t="s">
        <v>289</v>
      </c>
      <c r="K224" s="1" t="s">
        <v>289</v>
      </c>
      <c r="L224" s="1" t="str">
        <f t="shared" si="13"/>
        <v xml:space="preserve">Youth Ed</v>
      </c>
      <c r="M224" s="1" t="s">
        <v>91</v>
      </c>
      <c r="N224" s="1">
        <f t="shared" si="15"/>
        <v>22</v>
      </c>
    </row>
    <row r="225">
      <c r="A225" s="1" t="s">
        <v>86</v>
      </c>
      <c r="B225" s="1" t="str">
        <f t="shared" si="10"/>
        <v xml:space="preserve">20 Personnel</v>
      </c>
      <c r="C225" s="1" t="str">
        <f t="shared" si="12"/>
        <v xml:space="preserve">Youth Ed</v>
      </c>
      <c r="D225" s="15" t="s">
        <v>326</v>
      </c>
      <c r="E225" s="1" t="s">
        <v>16</v>
      </c>
      <c r="F225" s="1" t="s">
        <v>91</v>
      </c>
      <c r="G225" s="1" t="s">
        <v>125</v>
      </c>
      <c r="H225" s="1" t="s">
        <v>91</v>
      </c>
      <c r="I225" s="1" t="s">
        <v>125</v>
      </c>
      <c r="J225" s="1" t="s">
        <v>289</v>
      </c>
      <c r="K225" s="1" t="s">
        <v>289</v>
      </c>
      <c r="L225" s="1" t="str">
        <f t="shared" si="13"/>
        <v xml:space="preserve">Youth Ed</v>
      </c>
      <c r="M225" s="1" t="s">
        <v>91</v>
      </c>
      <c r="N225" s="1">
        <f t="shared" si="15"/>
        <v>22</v>
      </c>
    </row>
    <row r="226">
      <c r="A226" s="1" t="s">
        <v>86</v>
      </c>
      <c r="B226" s="1" t="str">
        <f t="shared" si="10"/>
        <v xml:space="preserve">20 Personnel</v>
      </c>
      <c r="C226" s="1" t="str">
        <f t="shared" si="12"/>
        <v xml:space="preserve">Youth Ed</v>
      </c>
      <c r="D226" s="1" t="s">
        <v>327</v>
      </c>
      <c r="E226" s="1" t="s">
        <v>16</v>
      </c>
      <c r="F226" s="1" t="s">
        <v>91</v>
      </c>
      <c r="G226" s="1" t="s">
        <v>125</v>
      </c>
      <c r="H226" s="1" t="s">
        <v>91</v>
      </c>
      <c r="I226" s="1" t="s">
        <v>125</v>
      </c>
      <c r="J226" s="1" t="s">
        <v>289</v>
      </c>
      <c r="K226" s="1" t="s">
        <v>289</v>
      </c>
      <c r="L226" s="1" t="str">
        <f t="shared" si="13"/>
        <v xml:space="preserve">Youth Ed</v>
      </c>
      <c r="M226" s="1" t="s">
        <v>91</v>
      </c>
      <c r="N226" s="1">
        <f t="shared" si="15"/>
        <v>22</v>
      </c>
    </row>
    <row r="227">
      <c r="A227" s="1" t="s">
        <v>86</v>
      </c>
      <c r="B227" s="1" t="str">
        <f t="shared" si="10"/>
        <v xml:space="preserve">20 Personnel</v>
      </c>
      <c r="C227" s="1" t="str">
        <f t="shared" si="12"/>
        <v xml:space="preserve">Youth Ed</v>
      </c>
      <c r="D227" s="1" t="s">
        <v>328</v>
      </c>
      <c r="E227" s="7" t="s">
        <v>58</v>
      </c>
      <c r="F227" s="1" t="s">
        <v>91</v>
      </c>
      <c r="G227" s="1" t="s">
        <v>125</v>
      </c>
      <c r="H227" s="1" t="s">
        <v>91</v>
      </c>
      <c r="I227" s="1" t="s">
        <v>125</v>
      </c>
      <c r="J227" s="1" t="s">
        <v>289</v>
      </c>
      <c r="K227" s="1" t="s">
        <v>289</v>
      </c>
      <c r="L227" s="1" t="str">
        <f t="shared" si="13"/>
        <v xml:space="preserve">Youth Ed</v>
      </c>
      <c r="M227" s="1" t="s">
        <v>91</v>
      </c>
      <c r="N227" s="1">
        <f t="shared" si="15"/>
        <v>22</v>
      </c>
    </row>
    <row r="228">
      <c r="A228" s="1" t="s">
        <v>86</v>
      </c>
      <c r="B228" s="1" t="str">
        <f t="shared" ref="B228:B244" si="16">J228</f>
        <v xml:space="preserve">20 Personnel</v>
      </c>
      <c r="C228" s="1" t="str">
        <f t="shared" si="12"/>
        <v xml:space="preserve">Wednesday lunch coordinator</v>
      </c>
      <c r="D228" s="1" t="s">
        <v>329</v>
      </c>
      <c r="E228" s="1" t="s">
        <v>138</v>
      </c>
      <c r="F228" s="1" t="s">
        <v>91</v>
      </c>
      <c r="G228" s="1" t="s">
        <v>330</v>
      </c>
      <c r="H228" s="1" t="s">
        <v>91</v>
      </c>
      <c r="I228" s="1" t="s">
        <v>330</v>
      </c>
      <c r="J228" s="1" t="s">
        <v>289</v>
      </c>
      <c r="K228" s="1" t="s">
        <v>289</v>
      </c>
      <c r="L228" s="1" t="str">
        <f t="shared" si="13"/>
        <v xml:space="preserve">Wednesday lunch coordinator</v>
      </c>
      <c r="M228" s="1" t="s">
        <v>91</v>
      </c>
      <c r="N228" s="1">
        <f t="shared" si="15"/>
        <v>22</v>
      </c>
    </row>
    <row r="229">
      <c r="A229" s="1" t="s">
        <v>86</v>
      </c>
      <c r="B229" s="1" t="str">
        <f t="shared" si="16"/>
        <v xml:space="preserve">20 Personnel</v>
      </c>
      <c r="C229" s="1" t="str">
        <f t="shared" si="12"/>
        <v xml:space="preserve">Wednesday lunch coordinator</v>
      </c>
      <c r="D229" s="1" t="s">
        <v>331</v>
      </c>
      <c r="E229" s="1" t="s">
        <v>138</v>
      </c>
      <c r="F229" s="1" t="s">
        <v>91</v>
      </c>
      <c r="G229" s="1" t="s">
        <v>330</v>
      </c>
      <c r="H229" s="1" t="s">
        <v>91</v>
      </c>
      <c r="I229" s="1" t="s">
        <v>330</v>
      </c>
      <c r="J229" s="1" t="s">
        <v>289</v>
      </c>
      <c r="K229" s="1" t="s">
        <v>289</v>
      </c>
      <c r="L229" s="1" t="str">
        <f t="shared" si="13"/>
        <v xml:space="preserve">Wednesday lunch coordinator</v>
      </c>
      <c r="M229" s="1" t="s">
        <v>91</v>
      </c>
      <c r="N229" s="1">
        <f t="shared" si="15"/>
        <v>22</v>
      </c>
    </row>
    <row r="230">
      <c r="A230" s="1" t="s">
        <v>86</v>
      </c>
      <c r="B230" s="1" t="str">
        <f t="shared" si="16"/>
        <v xml:space="preserve">20 Personnel</v>
      </c>
      <c r="C230" s="1" t="str">
        <f t="shared" si="12"/>
        <v xml:space="preserve">Wednesday lunch coordinator</v>
      </c>
      <c r="D230" t="s">
        <v>332</v>
      </c>
      <c r="E230" s="1" t="s">
        <v>138</v>
      </c>
      <c r="F230" s="1" t="s">
        <v>91</v>
      </c>
      <c r="G230" s="1" t="s">
        <v>330</v>
      </c>
      <c r="H230" s="1" t="s">
        <v>91</v>
      </c>
      <c r="I230" s="1" t="s">
        <v>330</v>
      </c>
      <c r="J230" s="1" t="s">
        <v>289</v>
      </c>
      <c r="K230" s="1" t="s">
        <v>289</v>
      </c>
      <c r="L230" s="1" t="str">
        <f t="shared" si="13"/>
        <v xml:space="preserve">Wednesday lunch coordinator</v>
      </c>
      <c r="M230" s="1" t="s">
        <v>91</v>
      </c>
      <c r="N230" s="1">
        <f t="shared" si="15"/>
        <v>22</v>
      </c>
    </row>
    <row r="231">
      <c r="A231" s="1" t="s">
        <v>86</v>
      </c>
      <c r="B231" s="1" t="str">
        <f t="shared" si="16"/>
        <v xml:space="preserve">20 Personnel</v>
      </c>
      <c r="C231" s="1" t="str">
        <f t="shared" si="12"/>
        <v>Office</v>
      </c>
      <c r="D231" s="13" t="s">
        <v>333</v>
      </c>
      <c r="E231" s="1" t="s">
        <v>16</v>
      </c>
      <c r="F231" s="1" t="s">
        <v>91</v>
      </c>
      <c r="G231" s="1" t="s">
        <v>263</v>
      </c>
      <c r="H231" s="1" t="s">
        <v>91</v>
      </c>
      <c r="I231" s="1" t="s">
        <v>263</v>
      </c>
      <c r="J231" s="1" t="s">
        <v>289</v>
      </c>
      <c r="K231" s="1" t="s">
        <v>289</v>
      </c>
      <c r="L231" s="1" t="str">
        <f t="shared" si="13"/>
        <v>Office</v>
      </c>
      <c r="M231" s="1" t="s">
        <v>91</v>
      </c>
      <c r="N231" s="1">
        <f t="shared" si="15"/>
        <v>22</v>
      </c>
    </row>
    <row r="232">
      <c r="A232" s="1" t="s">
        <v>86</v>
      </c>
      <c r="B232" s="1" t="str">
        <f t="shared" si="16"/>
        <v xml:space="preserve">20 Personnel</v>
      </c>
      <c r="C232" s="1" t="str">
        <f t="shared" si="12"/>
        <v>Office</v>
      </c>
      <c r="D232" t="s">
        <v>334</v>
      </c>
      <c r="E232" s="1" t="s">
        <v>16</v>
      </c>
      <c r="F232" s="1" t="s">
        <v>91</v>
      </c>
      <c r="G232" s="1" t="s">
        <v>263</v>
      </c>
      <c r="H232" s="1" t="s">
        <v>91</v>
      </c>
      <c r="I232" s="1" t="s">
        <v>263</v>
      </c>
      <c r="J232" s="1" t="s">
        <v>289</v>
      </c>
      <c r="K232" s="1" t="s">
        <v>289</v>
      </c>
      <c r="L232" s="1" t="str">
        <f t="shared" si="13"/>
        <v>Office</v>
      </c>
      <c r="M232" s="1" t="s">
        <v>91</v>
      </c>
      <c r="N232" s="1">
        <f t="shared" si="15"/>
        <v>22</v>
      </c>
    </row>
    <row r="233">
      <c r="A233" s="1" t="s">
        <v>86</v>
      </c>
      <c r="B233" s="1" t="str">
        <f t="shared" si="16"/>
        <v xml:space="preserve">20 Personnel</v>
      </c>
      <c r="C233" s="1" t="str">
        <f t="shared" si="12"/>
        <v xml:space="preserve">Communication Specialist</v>
      </c>
      <c r="D233" s="11" t="s">
        <v>335</v>
      </c>
      <c r="E233" s="1" t="s">
        <v>16</v>
      </c>
      <c r="F233" s="1" t="s">
        <v>91</v>
      </c>
      <c r="G233" s="1" t="s">
        <v>336</v>
      </c>
      <c r="H233" s="1" t="s">
        <v>91</v>
      </c>
      <c r="I233" s="1" t="s">
        <v>336</v>
      </c>
      <c r="J233" s="1" t="s">
        <v>289</v>
      </c>
      <c r="K233" s="1" t="s">
        <v>289</v>
      </c>
      <c r="L233" s="1" t="str">
        <f t="shared" si="13"/>
        <v xml:space="preserve">Communication Specialist</v>
      </c>
      <c r="M233" s="1" t="s">
        <v>91</v>
      </c>
      <c r="N233" s="1">
        <f t="shared" si="15"/>
        <v>22</v>
      </c>
    </row>
    <row r="234">
      <c r="A234" s="1" t="s">
        <v>86</v>
      </c>
      <c r="B234" s="1" t="str">
        <f t="shared" si="16"/>
        <v xml:space="preserve">20 Personnel</v>
      </c>
      <c r="C234" s="1" t="str">
        <f t="shared" si="12"/>
        <v xml:space="preserve">Communication Specialist</v>
      </c>
      <c r="D234" s="11" t="s">
        <v>337</v>
      </c>
      <c r="E234" s="1" t="s">
        <v>16</v>
      </c>
      <c r="F234" s="1" t="s">
        <v>91</v>
      </c>
      <c r="G234" s="1" t="s">
        <v>336</v>
      </c>
      <c r="H234" s="1" t="s">
        <v>91</v>
      </c>
      <c r="I234" s="1" t="s">
        <v>336</v>
      </c>
      <c r="J234" s="1" t="s">
        <v>289</v>
      </c>
      <c r="K234" s="1" t="s">
        <v>289</v>
      </c>
      <c r="L234" s="1" t="str">
        <f t="shared" si="13"/>
        <v xml:space="preserve">Communication Specialist</v>
      </c>
      <c r="M234" s="1" t="s">
        <v>91</v>
      </c>
      <c r="N234" s="1">
        <f t="shared" si="15"/>
        <v>22</v>
      </c>
    </row>
    <row r="235">
      <c r="A235" s="1" t="s">
        <v>86</v>
      </c>
      <c r="B235" s="1" t="str">
        <f t="shared" si="16"/>
        <v xml:space="preserve">20 Personnel</v>
      </c>
      <c r="C235" s="1" t="str">
        <f t="shared" si="12"/>
        <v xml:space="preserve">Communication Specialist</v>
      </c>
      <c r="D235" s="11" t="s">
        <v>338</v>
      </c>
      <c r="E235" s="1" t="s">
        <v>16</v>
      </c>
      <c r="F235" s="1" t="s">
        <v>91</v>
      </c>
      <c r="G235" s="1" t="s">
        <v>336</v>
      </c>
      <c r="H235" s="1" t="s">
        <v>91</v>
      </c>
      <c r="I235" s="1" t="s">
        <v>336</v>
      </c>
      <c r="J235" s="1" t="s">
        <v>289</v>
      </c>
      <c r="K235" s="1" t="s">
        <v>289</v>
      </c>
      <c r="L235" s="1" t="str">
        <f t="shared" si="13"/>
        <v xml:space="preserve">Communication Specialist</v>
      </c>
      <c r="M235" s="1" t="s">
        <v>91</v>
      </c>
      <c r="N235" s="1">
        <f t="shared" si="15"/>
        <v>22</v>
      </c>
    </row>
    <row r="236">
      <c r="A236" s="1" t="s">
        <v>86</v>
      </c>
      <c r="B236" s="1" t="str">
        <f t="shared" si="16"/>
        <v xml:space="preserve">20 Personnel</v>
      </c>
      <c r="C236" s="1" t="str">
        <f t="shared" si="12"/>
        <v xml:space="preserve">Communication Specialist</v>
      </c>
      <c r="D236" s="11" t="s">
        <v>339</v>
      </c>
      <c r="E236" s="7" t="s">
        <v>58</v>
      </c>
      <c r="F236" s="1" t="s">
        <v>91</v>
      </c>
      <c r="G236" s="1" t="s">
        <v>336</v>
      </c>
      <c r="H236" s="1" t="s">
        <v>91</v>
      </c>
      <c r="I236" s="1" t="s">
        <v>336</v>
      </c>
      <c r="J236" s="1" t="s">
        <v>289</v>
      </c>
      <c r="K236" s="1" t="s">
        <v>289</v>
      </c>
      <c r="L236" s="1" t="str">
        <f t="shared" si="13"/>
        <v xml:space="preserve">Communication Specialist</v>
      </c>
      <c r="M236" s="1" t="s">
        <v>91</v>
      </c>
      <c r="N236" s="1">
        <f t="shared" si="15"/>
        <v>22</v>
      </c>
    </row>
    <row r="237">
      <c r="A237" s="1" t="s">
        <v>13</v>
      </c>
      <c r="B237" s="1" t="str">
        <f t="shared" si="16"/>
        <v xml:space="preserve">Linear Adjustment</v>
      </c>
      <c r="C237" s="1" t="s">
        <v>23</v>
      </c>
      <c r="D237" s="16" t="s">
        <v>340</v>
      </c>
      <c r="E237" s="9" t="s">
        <v>16</v>
      </c>
      <c r="F237" s="1" t="s">
        <v>341</v>
      </c>
      <c r="G237" s="1" t="s">
        <v>341</v>
      </c>
      <c r="H237" s="1" t="s">
        <v>341</v>
      </c>
      <c r="I237" s="1" t="s">
        <v>341</v>
      </c>
      <c r="J237" s="1" t="s">
        <v>342</v>
      </c>
      <c r="K237" s="1" t="s">
        <v>342</v>
      </c>
      <c r="L237" s="1" t="s">
        <v>342</v>
      </c>
      <c r="M237" s="1" t="s">
        <v>51</v>
      </c>
      <c r="N237" s="1">
        <f t="shared" si="15"/>
        <v>23</v>
      </c>
    </row>
    <row r="238">
      <c r="A238" s="1" t="s">
        <v>13</v>
      </c>
      <c r="B238" s="1" t="str">
        <f t="shared" si="16"/>
        <v xml:space="preserve">Linear Adjustment</v>
      </c>
      <c r="C238" s="1" t="s">
        <v>23</v>
      </c>
      <c r="D238" s="16" t="s">
        <v>343</v>
      </c>
      <c r="E238" s="9" t="s">
        <v>16</v>
      </c>
      <c r="F238" s="1" t="s">
        <v>341</v>
      </c>
      <c r="G238" s="1" t="s">
        <v>341</v>
      </c>
      <c r="H238" s="1" t="s">
        <v>341</v>
      </c>
      <c r="I238" s="1" t="s">
        <v>341</v>
      </c>
      <c r="J238" s="1" t="s">
        <v>342</v>
      </c>
      <c r="K238" s="1" t="s">
        <v>342</v>
      </c>
      <c r="L238" s="1" t="s">
        <v>342</v>
      </c>
      <c r="M238" s="1" t="s">
        <v>51</v>
      </c>
      <c r="N238" s="1">
        <f t="shared" si="15"/>
        <v>23</v>
      </c>
    </row>
    <row r="239">
      <c r="A239" s="1" t="s">
        <v>13</v>
      </c>
      <c r="B239" s="1" t="str">
        <f t="shared" si="16"/>
        <v xml:space="preserve">Linear Adjustment</v>
      </c>
      <c r="C239" s="1" t="s">
        <v>23</v>
      </c>
      <c r="D239" s="16" t="s">
        <v>344</v>
      </c>
      <c r="E239" s="1" t="s">
        <v>62</v>
      </c>
      <c r="F239" s="1" t="s">
        <v>341</v>
      </c>
      <c r="G239" s="1" t="s">
        <v>341</v>
      </c>
      <c r="H239" s="1" t="s">
        <v>341</v>
      </c>
      <c r="I239" s="1" t="s">
        <v>341</v>
      </c>
      <c r="J239" s="1" t="s">
        <v>342</v>
      </c>
      <c r="K239" s="1" t="s">
        <v>342</v>
      </c>
      <c r="L239" s="1" t="s">
        <v>342</v>
      </c>
      <c r="M239" s="1" t="s">
        <v>51</v>
      </c>
      <c r="N239" s="1">
        <f t="shared" si="15"/>
        <v>23</v>
      </c>
    </row>
    <row r="240" ht="12.75">
      <c r="A240" s="1" t="s">
        <v>13</v>
      </c>
      <c r="B240" s="1" t="str">
        <f t="shared" si="16"/>
        <v xml:space="preserve">Linear Adjustment</v>
      </c>
      <c r="C240" s="1" t="s">
        <v>23</v>
      </c>
      <c r="D240" s="17" t="s">
        <v>345</v>
      </c>
      <c r="E240" s="17" t="s">
        <v>62</v>
      </c>
      <c r="F240" s="1" t="s">
        <v>341</v>
      </c>
      <c r="G240" s="1" t="s">
        <v>341</v>
      </c>
      <c r="H240" s="1" t="s">
        <v>341</v>
      </c>
      <c r="I240" s="1" t="s">
        <v>341</v>
      </c>
      <c r="J240" s="1" t="s">
        <v>342</v>
      </c>
      <c r="K240" s="1" t="s">
        <v>342</v>
      </c>
      <c r="L240" s="1" t="s">
        <v>342</v>
      </c>
      <c r="M240" s="1" t="s">
        <v>51</v>
      </c>
      <c r="N240" s="1">
        <f t="shared" si="15"/>
        <v>23</v>
      </c>
    </row>
    <row r="241" ht="12.75">
      <c r="A241" s="1" t="s">
        <v>13</v>
      </c>
      <c r="B241" s="1" t="str">
        <f t="shared" si="16"/>
        <v xml:space="preserve">Linear Adjustment</v>
      </c>
      <c r="C241" s="1" t="s">
        <v>23</v>
      </c>
      <c r="D241" s="18" t="s">
        <v>346</v>
      </c>
      <c r="E241" s="9" t="s">
        <v>58</v>
      </c>
      <c r="F241" s="1" t="s">
        <v>341</v>
      </c>
      <c r="G241" s="1" t="s">
        <v>341</v>
      </c>
      <c r="H241" s="1" t="s">
        <v>341</v>
      </c>
      <c r="I241" s="1" t="s">
        <v>341</v>
      </c>
      <c r="J241" s="1" t="s">
        <v>342</v>
      </c>
      <c r="K241" s="1" t="s">
        <v>342</v>
      </c>
      <c r="L241" s="1" t="s">
        <v>342</v>
      </c>
      <c r="M241" s="1" t="s">
        <v>51</v>
      </c>
      <c r="N241" s="1">
        <f t="shared" si="15"/>
        <v>23</v>
      </c>
    </row>
    <row r="242" ht="12.75">
      <c r="A242" s="1" t="s">
        <v>13</v>
      </c>
      <c r="B242" s="1" t="str">
        <f t="shared" si="16"/>
        <v xml:space="preserve">Linear Adjustment</v>
      </c>
      <c r="C242" s="1" t="s">
        <v>23</v>
      </c>
      <c r="D242" s="16" t="s">
        <v>347</v>
      </c>
      <c r="E242" s="9" t="s">
        <v>67</v>
      </c>
      <c r="F242" s="1" t="s">
        <v>341</v>
      </c>
      <c r="G242" s="1" t="s">
        <v>341</v>
      </c>
      <c r="H242" s="1" t="s">
        <v>341</v>
      </c>
      <c r="I242" s="1" t="s">
        <v>341</v>
      </c>
      <c r="J242" s="1" t="s">
        <v>342</v>
      </c>
      <c r="K242" s="1" t="s">
        <v>342</v>
      </c>
      <c r="L242" s="1" t="s">
        <v>342</v>
      </c>
      <c r="M242" s="1" t="s">
        <v>51</v>
      </c>
      <c r="N242" s="1">
        <f t="shared" si="15"/>
        <v>23</v>
      </c>
    </row>
    <row r="243" ht="12.75">
      <c r="A243" s="1" t="s">
        <v>13</v>
      </c>
      <c r="B243" s="1" t="str">
        <f t="shared" si="16"/>
        <v xml:space="preserve">Linear Adjustment</v>
      </c>
      <c r="C243" s="1" t="s">
        <v>23</v>
      </c>
      <c r="D243" s="16" t="s">
        <v>348</v>
      </c>
      <c r="E243" s="9" t="s">
        <v>67</v>
      </c>
      <c r="F243" s="1" t="s">
        <v>341</v>
      </c>
      <c r="G243" s="1" t="s">
        <v>341</v>
      </c>
      <c r="H243" s="1" t="s">
        <v>341</v>
      </c>
      <c r="I243" s="1" t="s">
        <v>341</v>
      </c>
      <c r="J243" s="1" t="s">
        <v>342</v>
      </c>
      <c r="K243" s="1" t="s">
        <v>342</v>
      </c>
      <c r="L243" s="1" t="s">
        <v>342</v>
      </c>
      <c r="M243" s="1" t="s">
        <v>51</v>
      </c>
      <c r="N243" s="1">
        <f t="shared" si="15"/>
        <v>23</v>
      </c>
    </row>
    <row r="244" ht="12.75">
      <c r="A244" s="1" t="s">
        <v>13</v>
      </c>
      <c r="B244" s="1" t="str">
        <f t="shared" si="16"/>
        <v xml:space="preserve">Linear Adjustment</v>
      </c>
      <c r="C244" s="1" t="s">
        <v>23</v>
      </c>
      <c r="D244" s="9" t="s">
        <v>349</v>
      </c>
      <c r="E244" s="9" t="s">
        <v>67</v>
      </c>
      <c r="F244" s="1" t="s">
        <v>341</v>
      </c>
      <c r="G244" s="1" t="s">
        <v>341</v>
      </c>
      <c r="H244" s="1" t="s">
        <v>341</v>
      </c>
      <c r="I244" s="1" t="s">
        <v>341</v>
      </c>
      <c r="J244" s="1" t="s">
        <v>342</v>
      </c>
      <c r="K244" s="1" t="s">
        <v>342</v>
      </c>
      <c r="L244" s="1" t="s">
        <v>342</v>
      </c>
      <c r="M244" s="1" t="s">
        <v>51</v>
      </c>
      <c r="N244" s="1">
        <f t="shared" si="15"/>
        <v>23</v>
      </c>
    </row>
  </sheetData>
  <autoFilter ref="A1:N244">
    <sortState ref="B1:B244">
      <sortCondition descending="0" ref="B1:B244"/>
    </sortState>
  </autoFilter>
  <printOptions headings="1" gridLines="0"/>
  <pageMargins left="0.5" right="0.5" top="0.5" bottom="0.5" header="0" footer="0"/>
  <pageSetup paperSize="9" scale="40" fitToWidth="1" fitToHeight="0" pageOrder="downThenOver" orientation="landscape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9" id="{00B10098-0098-4D44-B498-006100BA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A36 D36 F36:L36</xm:sqref>
        </x14:conditionalFormatting>
        <x14:conditionalFormatting xmlns:xm="http://schemas.microsoft.com/office/excel/2006/main">
          <x14:cfRule type="expression" priority="30" id="{009D007D-0023-4633-9A7D-0052004A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A107 K107:L107</xm:sqref>
        </x14:conditionalFormatting>
        <x14:conditionalFormatting xmlns:xm="http://schemas.microsoft.com/office/excel/2006/main">
          <x14:cfRule type="expression" priority="3" id="{00D4004E-009A-4F82-9F31-00700009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D205 F205:I205</xm:sqref>
        </x14:conditionalFormatting>
        <x14:conditionalFormatting xmlns:xm="http://schemas.microsoft.com/office/excel/2006/main">
          <x14:cfRule type="expression" priority="4" id="{0068005F-0021-421B-996E-0064002D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A206 D206</xm:sqref>
        </x14:conditionalFormatting>
        <x14:conditionalFormatting xmlns:xm="http://schemas.microsoft.com/office/excel/2006/main">
          <x14:cfRule type="expression" priority="2" id="{00B100D1-00F3-4158-9D7E-005B00C0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A149:C149 A150:D239 A240:C240 A241:C244 A245:D10008 A2:D26 A27:C27 A27:D36 A37:C37 A38:D148 K2:L10008 N2:N10008</xm:sqref>
        </x14:conditionalFormatting>
        <x14:conditionalFormatting xmlns:xm="http://schemas.microsoft.com/office/excel/2006/main">
          <x14:cfRule type="expression" priority="6724" id="{002E000D-00CA-4D46-BED3-004D0023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A148 D148 F148:L148 N148</xm:sqref>
        </x14:conditionalFormatting>
        <x14:conditionalFormatting xmlns:xm="http://schemas.microsoft.com/office/excel/2006/main">
          <x14:cfRule type="expression" priority="6720" id="{00BC0029-00F7-4817-BC9A-00A9007D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A149 D149 F149:L149 N149</xm:sqref>
        </x14:conditionalFormatting>
        <x14:conditionalFormatting xmlns:xm="http://schemas.microsoft.com/office/excel/2006/main">
          <x14:cfRule type="expression" priority="198" id="{008B00A7-007D-4EAF-9E3A-001E008E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1" id="{00330047-007C-42F5-9645-00AB0002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D15</xm:sqref>
        </x14:conditionalFormatting>
        <x14:conditionalFormatting xmlns:xm="http://schemas.microsoft.com/office/excel/2006/main">
          <x14:cfRule type="expression" priority="8" id="{00320015-00B1-4A5E-A95B-00A30094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D25</xm:sqref>
        </x14:conditionalFormatting>
        <x14:conditionalFormatting xmlns:xm="http://schemas.microsoft.com/office/excel/2006/main">
          <x14:cfRule type="expression" priority="12" id="{00D90002-00B1-4DB5-BD1A-008700BE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D89</xm:sqref>
        </x14:conditionalFormatting>
        <x14:conditionalFormatting xmlns:xm="http://schemas.microsoft.com/office/excel/2006/main">
          <x14:cfRule type="expression" priority="6" id="{00DA0079-00BF-439D-BD39-00180020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D102</xm:sqref>
        </x14:conditionalFormatting>
        <x14:conditionalFormatting xmlns:xm="http://schemas.microsoft.com/office/excel/2006/main">
          <x14:cfRule type="expression" priority="7" id="{004100EA-00B8-4EA1-8B14-00700024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D150</xm:sqref>
        </x14:conditionalFormatting>
        <x14:conditionalFormatting xmlns:xm="http://schemas.microsoft.com/office/excel/2006/main">
          <x14:cfRule type="expression" priority="9" id="{006D00DD-003C-4B3F-A0C3-0027008E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D232</xm:sqref>
        </x14:conditionalFormatting>
        <x14:conditionalFormatting xmlns:xm="http://schemas.microsoft.com/office/excel/2006/main">
          <x14:cfRule type="expression" priority="10" id="{00540088-00B5-4915-98F5-00B30064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D233</xm:sqref>
        </x14:conditionalFormatting>
        <x14:conditionalFormatting xmlns:xm="http://schemas.microsoft.com/office/excel/2006/main">
          <x14:cfRule type="expression" priority="5" id="{0022004D-00BC-4C60-96DB-004300A0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D28:I28</xm:sqref>
        </x14:conditionalFormatting>
        <x14:conditionalFormatting xmlns:xm="http://schemas.microsoft.com/office/excel/2006/main">
          <x14:cfRule type="expression" priority="330" id="{00C200C3-00C4-4875-967C-00D900BD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E24:F24</xm:sqref>
        </x14:conditionalFormatting>
        <x14:conditionalFormatting xmlns:xm="http://schemas.microsoft.com/office/excel/2006/main">
          <x14:cfRule type="expression" priority="230" id="{002100FE-004A-4727-BC2C-006D00EA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477" id="{003D0018-0059-4967-8DA2-00D100B2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</xm:sqref>
        </x14:conditionalFormatting>
        <x14:conditionalFormatting xmlns:xm="http://schemas.microsoft.com/office/excel/2006/main">
          <x14:cfRule type="expression" priority="327" id="{00F9007C-00FC-4118-AF48-00AF005B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</xm:sqref>
        </x14:conditionalFormatting>
        <x14:conditionalFormatting xmlns:xm="http://schemas.microsoft.com/office/excel/2006/main">
          <x14:cfRule type="expression" priority="328" id="{006B00F1-003E-4B19-82B8-007B005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309" id="{00570071-00FB-40A8-BAAB-00FC005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329" id="{00950051-0033-4C9B-9A99-001B0042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308" id="{00B700A0-006B-4EFD-94EE-00EF0001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F16</xm:sqref>
        </x14:conditionalFormatting>
        <x14:conditionalFormatting xmlns:xm="http://schemas.microsoft.com/office/excel/2006/main">
          <x14:cfRule type="expression" priority="307" id="{00810046-00D8-4059-939D-00E7001B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 I57:I60 O57:O60</xm:sqref>
        </x14:conditionalFormatting>
        <x14:conditionalFormatting xmlns:xm="http://schemas.microsoft.com/office/excel/2006/main">
          <x14:cfRule type="expression" priority="306" id="{00EA0036-0042-4C3D-9D5A-00D10042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 G46:G49 I46:I49 I51:I56 O46:O49 O51:O56 G38:G44 I38:I44 O38:O44</xm:sqref>
        </x14:conditionalFormatting>
        <x14:conditionalFormatting xmlns:xm="http://schemas.microsoft.com/office/excel/2006/main">
          <x14:cfRule type="expression" priority="305" id="{001400B5-0050-4D85-8D16-00FF0051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3501" id="{00D10006-005B-4910-884D-00BB00A4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317" id="{00FD0050-00F1-41C6-B5E3-00AB00ED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F27</xm:sqref>
        </x14:conditionalFormatting>
        <x14:conditionalFormatting xmlns:xm="http://schemas.microsoft.com/office/excel/2006/main">
          <x14:cfRule type="expression" priority="268" id="{00E7005C-0013-4B63-B4F5-00DC0021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F46</xm:sqref>
        </x14:conditionalFormatting>
        <x14:conditionalFormatting xmlns:xm="http://schemas.microsoft.com/office/excel/2006/main">
          <x14:cfRule type="expression" priority="487" id="{00FD00FD-00BC-48AB-826B-0007005B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6718" id="{00890041-0052-4D13-BF5F-004C00B8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F49</xm:sqref>
        </x14:conditionalFormatting>
        <x14:conditionalFormatting xmlns:xm="http://schemas.microsoft.com/office/excel/2006/main">
          <x14:cfRule type="expression" priority="3519" id="{00120003-00A9-4EDE-AD2B-005800ED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F53</xm:sqref>
        </x14:conditionalFormatting>
        <x14:conditionalFormatting xmlns:xm="http://schemas.microsoft.com/office/excel/2006/main">
          <x14:cfRule type="expression" priority="3528" id="{00570015-00E0-48F2-B3A7-008400DF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F57</xm:sqref>
        </x14:conditionalFormatting>
        <x14:conditionalFormatting xmlns:xm="http://schemas.microsoft.com/office/excel/2006/main">
          <x14:cfRule type="expression" priority="3537" id="{003900E3-003E-41D8-BB5A-0040001C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F60</xm:sqref>
        </x14:conditionalFormatting>
        <x14:conditionalFormatting xmlns:xm="http://schemas.microsoft.com/office/excel/2006/main">
          <x14:cfRule type="expression" priority="3546" id="{00C20093-00EB-4682-AC78-00A9002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3555" id="{005F00C9-00CB-4795-850D-00C800EC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245" id="{006800F4-00A3-442D-B82C-008D004D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F68</xm:sqref>
        </x14:conditionalFormatting>
        <x14:conditionalFormatting xmlns:xm="http://schemas.microsoft.com/office/excel/2006/main">
          <x14:cfRule type="expression" priority="3564" id="{006900D1-0032-4172-B4E2-004E0034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F69</xm:sqref>
        </x14:conditionalFormatting>
        <x14:conditionalFormatting xmlns:xm="http://schemas.microsoft.com/office/excel/2006/main">
          <x14:cfRule type="expression" priority="239" id="{003D00A5-0006-4E65-A8A1-0073007A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F73</xm:sqref>
        </x14:conditionalFormatting>
        <x14:conditionalFormatting xmlns:xm="http://schemas.microsoft.com/office/excel/2006/main">
          <x14:cfRule type="expression" priority="3573" id="{00E300E7-00BD-4638-8E0B-00F4006D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F74</xm:sqref>
        </x14:conditionalFormatting>
        <x14:conditionalFormatting xmlns:xm="http://schemas.microsoft.com/office/excel/2006/main">
          <x14:cfRule type="expression" priority="266" id="{00D7009F-0074-4817-8932-00800074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F81 G106:G115 I106:I115</xm:sqref>
        </x14:conditionalFormatting>
        <x14:conditionalFormatting xmlns:xm="http://schemas.microsoft.com/office/excel/2006/main">
          <x14:cfRule type="expression" priority="332" id="{00810084-0040-411F-BF49-006F00ED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F89</xm:sqref>
        </x14:conditionalFormatting>
        <x14:conditionalFormatting xmlns:xm="http://schemas.microsoft.com/office/excel/2006/main">
          <x14:cfRule type="expression" priority="333" id="{00F0005D-000A-41FD-BDB8-006400F7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F96</xm:sqref>
        </x14:conditionalFormatting>
        <x14:conditionalFormatting xmlns:xm="http://schemas.microsoft.com/office/excel/2006/main">
          <x14:cfRule type="expression" priority="299" id="{00180093-005E-400E-91AB-00770051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F116</xm:sqref>
        </x14:conditionalFormatting>
        <x14:conditionalFormatting xmlns:xm="http://schemas.microsoft.com/office/excel/2006/main">
          <x14:cfRule type="expression" priority="298" id="{002F00C1-00EE-4187-8C46-004F0013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F131</xm:sqref>
        </x14:conditionalFormatting>
        <x14:conditionalFormatting xmlns:xm="http://schemas.microsoft.com/office/excel/2006/main">
          <x14:cfRule type="expression" priority="274" id="{002B007C-00CE-4170-B810-004A0030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F188</xm:sqref>
        </x14:conditionalFormatting>
        <x14:conditionalFormatting xmlns:xm="http://schemas.microsoft.com/office/excel/2006/main">
          <x14:cfRule type="expression" priority="260" id="{006200B3-00A8-4CEB-9FED-004B00E1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F197</xm:sqref>
        </x14:conditionalFormatting>
        <x14:conditionalFormatting xmlns:xm="http://schemas.microsoft.com/office/excel/2006/main">
          <x14:cfRule type="expression" priority="296" id="{005C0021-00A5-4C89-B8AF-0012002A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F200</xm:sqref>
        </x14:conditionalFormatting>
        <x14:conditionalFormatting xmlns:xm="http://schemas.microsoft.com/office/excel/2006/main">
          <x14:cfRule type="expression" priority="295" id="{003B006F-0008-4B5F-8B76-00460070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F220</xm:sqref>
        </x14:conditionalFormatting>
        <x14:conditionalFormatting xmlns:xm="http://schemas.microsoft.com/office/excel/2006/main">
          <x14:cfRule type="expression" priority="342" id="{004D00D4-00B3-4C88-A16F-003600B9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F231</xm:sqref>
        </x14:conditionalFormatting>
        <x14:conditionalFormatting xmlns:xm="http://schemas.microsoft.com/office/excel/2006/main">
          <x14:cfRule type="expression" priority="231" id="{00C100E1-00C3-4CC7-9EE4-0010001F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F2:G25</xm:sqref>
        </x14:conditionalFormatting>
        <x14:conditionalFormatting xmlns:xm="http://schemas.microsoft.com/office/excel/2006/main">
          <x14:cfRule type="expression" priority="301" id="{005200D3-00EB-4099-ABC1-00CA00F4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F30:G30</xm:sqref>
        </x14:conditionalFormatting>
        <x14:conditionalFormatting xmlns:xm="http://schemas.microsoft.com/office/excel/2006/main">
          <x14:cfRule type="expression" priority="353" id="{005A00F5-0000-4621-9E81-00910019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F206:G206</xm:sqref>
        </x14:conditionalFormatting>
        <x14:conditionalFormatting xmlns:xm="http://schemas.microsoft.com/office/excel/2006/main">
          <x14:cfRule type="expression" priority="54" id="{0073008F-00D7-45DF-8A3A-0003002C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F12:H12</xm:sqref>
        </x14:conditionalFormatting>
        <x14:conditionalFormatting xmlns:xm="http://schemas.microsoft.com/office/excel/2006/main">
          <x14:cfRule type="expression" priority="95" id="{0051007F-00D3-4363-872F-00F200A0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F39:H39</xm:sqref>
        </x14:conditionalFormatting>
        <x14:conditionalFormatting xmlns:xm="http://schemas.microsoft.com/office/excel/2006/main">
          <x14:cfRule type="expression" priority="64" id="{008F00B3-009B-4E34-9ECB-00C80049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F76:H76</xm:sqref>
        </x14:conditionalFormatting>
        <x14:conditionalFormatting xmlns:xm="http://schemas.microsoft.com/office/excel/2006/main">
          <x14:cfRule type="expression" priority="67" id="{00FF0030-003F-4245-9D54-004A0044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F154:H154</xm:sqref>
        </x14:conditionalFormatting>
        <x14:conditionalFormatting xmlns:xm="http://schemas.microsoft.com/office/excel/2006/main">
          <x14:cfRule type="expression" priority="70" id="{000000BD-00D0-400A-AADC-00410033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F227:H227</xm:sqref>
        </x14:conditionalFormatting>
        <x14:conditionalFormatting xmlns:xm="http://schemas.microsoft.com/office/excel/2006/main">
          <x14:cfRule type="expression" priority="41" id="{004A0025-003D-4583-8193-00BE00AF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F23:I23</xm:sqref>
        </x14:conditionalFormatting>
        <x14:conditionalFormatting xmlns:xm="http://schemas.microsoft.com/office/excel/2006/main">
          <x14:cfRule type="expression" priority="111" id="{003E0049-005E-4889-A98C-00AB00E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F45:I45</xm:sqref>
        </x14:conditionalFormatting>
        <x14:conditionalFormatting xmlns:xm="http://schemas.microsoft.com/office/excel/2006/main">
          <x14:cfRule type="expression" priority="120" id="{003E00E7-0045-41D3-8CF8-00150093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F50:I50</xm:sqref>
        </x14:conditionalFormatting>
        <x14:conditionalFormatting xmlns:xm="http://schemas.microsoft.com/office/excel/2006/main">
          <x14:cfRule type="expression" priority="72" id="{00690084-0046-49F8-BE14-00890028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F119:I119</xm:sqref>
        </x14:conditionalFormatting>
        <x14:conditionalFormatting xmlns:xm="http://schemas.microsoft.com/office/excel/2006/main">
          <x14:cfRule type="expression" priority="73" id="{000500C3-0062-447F-987D-003D004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F139:I139</xm:sqref>
        </x14:conditionalFormatting>
        <x14:conditionalFormatting xmlns:xm="http://schemas.microsoft.com/office/excel/2006/main">
          <x14:cfRule type="expression" priority="75" id="{00700018-0008-48CD-897F-00BF006F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F150:I150</xm:sqref>
        </x14:conditionalFormatting>
        <x14:conditionalFormatting xmlns:xm="http://schemas.microsoft.com/office/excel/2006/main">
          <x14:cfRule type="expression" priority="76" id="{00EC00AD-003F-4E73-8C71-0058002D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F160:I160</xm:sqref>
        </x14:conditionalFormatting>
        <x14:conditionalFormatting xmlns:xm="http://schemas.microsoft.com/office/excel/2006/main">
          <x14:cfRule type="expression" priority="82" id="{007300C9-00F3-4F7D-8A9B-006F0036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F221:I221</xm:sqref>
        </x14:conditionalFormatting>
        <x14:conditionalFormatting xmlns:xm="http://schemas.microsoft.com/office/excel/2006/main">
          <x14:cfRule type="expression" priority="83" id="{00B900B9-00AF-4568-94B2-00EC0006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F232:I232</xm:sqref>
        </x14:conditionalFormatting>
        <x14:conditionalFormatting xmlns:xm="http://schemas.microsoft.com/office/excel/2006/main">
          <x14:cfRule type="expression" priority="229" id="{001D005C-00AB-4481-85DE-00930078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G2:G19</xm:sqref>
        </x14:conditionalFormatting>
        <x14:conditionalFormatting xmlns:xm="http://schemas.microsoft.com/office/excel/2006/main">
          <x14:cfRule type="expression" priority="315" id="{005C0038-0039-40F4-8522-008C00B5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G20:G35 G76:G80 G116:G118 G131:G138 G154:G159 G200:G204 G227:G230</xm:sqref>
        </x14:conditionalFormatting>
        <x14:conditionalFormatting xmlns:xm="http://schemas.microsoft.com/office/excel/2006/main">
          <x14:cfRule type="expression" priority="318" id="{00D00060-0085-449B-A813-00BC00A70070}">
            <xm:f>MOD($O26,2)=0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G26 G45 F46:G52 G53:G55 F56:G56 G57 F58:G59 G60:G62 F63:G63 G64 F65:G65 G66 F67:G68 G69 F70:G73 G74:G75 F76:G239 F27:G44</xm:sqref>
        </x14:conditionalFormatting>
        <x14:conditionalFormatting xmlns:xm="http://schemas.microsoft.com/office/excel/2006/main">
          <x14:cfRule type="expression" priority="232" id="{001A00AC-003E-4AFB-BEE0-0085004C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G47</xm:sqref>
        </x14:conditionalFormatting>
        <x14:conditionalFormatting xmlns:xm="http://schemas.microsoft.com/office/excel/2006/main">
          <x14:cfRule type="expression" priority="293" id="{00C40055-0062-42EB-9006-0006003F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G81:G104</xm:sqref>
        </x14:conditionalFormatting>
        <x14:conditionalFormatting xmlns:xm="http://schemas.microsoft.com/office/excel/2006/main">
          <x14:cfRule type="expression" priority="244" id="{008A0068-0048-4E1A-A6DC-001000E1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G105</xm:sqref>
        </x14:conditionalFormatting>
        <x14:conditionalFormatting xmlns:xm="http://schemas.microsoft.com/office/excel/2006/main">
          <x14:cfRule type="expression" priority="358" id="{0034005B-00D7-4CA9-9A89-00770024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G118</xm:sqref>
        </x14:conditionalFormatting>
        <x14:conditionalFormatting xmlns:xm="http://schemas.microsoft.com/office/excel/2006/main">
          <x14:cfRule type="expression" priority="290" id="{00D50039-00D4-4F1E-B9F9-002700E0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G144</xm:sqref>
        </x14:conditionalFormatting>
        <x14:conditionalFormatting xmlns:xm="http://schemas.microsoft.com/office/excel/2006/main">
          <x14:cfRule type="expression" priority="286" id="{00B900C2-0062-4EA1-A5B6-000D003F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G188:G196</xm:sqref>
        </x14:conditionalFormatting>
        <x14:conditionalFormatting xmlns:xm="http://schemas.microsoft.com/office/excel/2006/main">
          <x14:cfRule type="expression" priority="285" id="{000A00E8-002D-4E1A-A287-00C500D2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G197:G199</xm:sqref>
        </x14:conditionalFormatting>
        <x14:conditionalFormatting xmlns:xm="http://schemas.microsoft.com/office/excel/2006/main">
          <x14:cfRule type="expression" priority="280" id="{005B002E-00EF-4A37-B2F5-00940060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G239</xm:sqref>
        </x14:conditionalFormatting>
        <x14:conditionalFormatting xmlns:xm="http://schemas.microsoft.com/office/excel/2006/main">
          <x14:cfRule type="expression" priority="35" id="{003D00C3-00B3-4629-9B27-007A0055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G25:I25</xm:sqref>
        </x14:conditionalFormatting>
        <x14:conditionalFormatting xmlns:xm="http://schemas.microsoft.com/office/excel/2006/main">
          <x14:cfRule type="expression" priority="39" id="{0077004C-00FE-4633-A409-003B00D1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G29:I29</xm:sqref>
        </x14:conditionalFormatting>
        <x14:conditionalFormatting xmlns:xm="http://schemas.microsoft.com/office/excel/2006/main">
          <x14:cfRule type="expression" priority="124" id="{008F00F5-00BD-433E-B2DF-00D50011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G61:I61</xm:sqref>
        </x14:conditionalFormatting>
        <x14:conditionalFormatting xmlns:xm="http://schemas.microsoft.com/office/excel/2006/main">
          <x14:cfRule type="expression" priority="142" id="{004800B0-00B7-4379-ADCE-00890089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G62:I62</xm:sqref>
        </x14:conditionalFormatting>
        <x14:conditionalFormatting xmlns:xm="http://schemas.microsoft.com/office/excel/2006/main">
          <x14:cfRule type="expression" priority="200" id="{00CF0073-00FA-4EDD-BC59-0036002A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</xm:sqref>
        </x14:conditionalFormatting>
        <x14:conditionalFormatting xmlns:xm="http://schemas.microsoft.com/office/excel/2006/main">
          <x14:cfRule type="expression" priority="32" id="{007D0075-00AF-4DAD-9665-006200AF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</xm:sqref>
        </x14:conditionalFormatting>
        <x14:conditionalFormatting xmlns:xm="http://schemas.microsoft.com/office/excel/2006/main">
          <x14:cfRule type="expression" priority="56" id="{0025008E-005D-4308-96B2-0068004A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H16</xm:sqref>
        </x14:conditionalFormatting>
        <x14:conditionalFormatting xmlns:xm="http://schemas.microsoft.com/office/excel/2006/main">
          <x14:cfRule type="expression" priority="57" id="{00DC00A8-002A-44CF-BE49-007A0018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</xm:sqref>
        </x14:conditionalFormatting>
        <x14:conditionalFormatting xmlns:xm="http://schemas.microsoft.com/office/excel/2006/main">
          <x14:cfRule type="expression" priority="58" id="{00A40000-0086-41D9-B7B7-001300DF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</xm:sqref>
        </x14:conditionalFormatting>
        <x14:conditionalFormatting xmlns:xm="http://schemas.microsoft.com/office/excel/2006/main">
          <x14:cfRule type="expression" priority="34" id="{00D20060-0018-4712-8BE0-00A20063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51" id="{000D0090-0060-4226-B20C-00D100C8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36" id="{00890024-0015-4F35-B4DA-006D000A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33" id="{00F30071-00BB-40BD-8199-00BB003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H27</xm:sqref>
        </x14:conditionalFormatting>
        <x14:conditionalFormatting xmlns:xm="http://schemas.microsoft.com/office/excel/2006/main">
          <x14:cfRule type="expression" priority="96" id="{008E0003-0035-4F2C-AA18-00D50014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H46</xm:sqref>
        </x14:conditionalFormatting>
        <x14:conditionalFormatting xmlns:xm="http://schemas.microsoft.com/office/excel/2006/main">
          <x14:cfRule type="expression" priority="137" id="{00AC0031-0089-4434-8515-00F900D4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H54</xm:sqref>
        </x14:conditionalFormatting>
        <x14:conditionalFormatting xmlns:xm="http://schemas.microsoft.com/office/excel/2006/main">
          <x14:cfRule type="expression" priority="152" id="{00A80052-0018-4DB3-AE25-00F4009E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H55</xm:sqref>
        </x14:conditionalFormatting>
        <x14:conditionalFormatting xmlns:xm="http://schemas.microsoft.com/office/excel/2006/main">
          <x14:cfRule type="expression" priority="132" id="{00E700FF-00E7-4DC8-98A1-0075000D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H68</xm:sqref>
        </x14:conditionalFormatting>
        <x14:conditionalFormatting xmlns:xm="http://schemas.microsoft.com/office/excel/2006/main">
          <x14:cfRule type="expression" priority="144" id="{000800B5-001A-4C0A-BB1C-001700D5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H73</xm:sqref>
        </x14:conditionalFormatting>
        <x14:conditionalFormatting xmlns:xm="http://schemas.microsoft.com/office/excel/2006/main">
          <x14:cfRule type="expression" priority="85" id="{00CB00D0-005D-4437-9CD5-002C00AE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H81</xm:sqref>
        </x14:conditionalFormatting>
        <x14:conditionalFormatting xmlns:xm="http://schemas.microsoft.com/office/excel/2006/main">
          <x14:cfRule type="expression" priority="188" id="{002B0057-00E5-4FDC-9FB1-009300C4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H89</xm:sqref>
        </x14:conditionalFormatting>
        <x14:conditionalFormatting xmlns:xm="http://schemas.microsoft.com/office/excel/2006/main">
          <x14:cfRule type="expression" priority="189" id="{00AE00A2-0037-4CB3-9263-003700CC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H96</xm:sqref>
        </x14:conditionalFormatting>
        <x14:conditionalFormatting xmlns:xm="http://schemas.microsoft.com/office/excel/2006/main">
          <x14:cfRule type="expression" priority="193" id="{00C3001F-008B-4DD4-85E9-00D500B9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H107</xm:sqref>
        </x14:conditionalFormatting>
        <x14:conditionalFormatting xmlns:xm="http://schemas.microsoft.com/office/excel/2006/main">
          <x14:cfRule type="expression" priority="191" id="{00A4003C-00B6-4CA9-A6B5-00E6004B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H112</xm:sqref>
        </x14:conditionalFormatting>
        <x14:conditionalFormatting xmlns:xm="http://schemas.microsoft.com/office/excel/2006/main">
          <x14:cfRule type="expression" priority="65" id="{00A70081-00AA-4FB5-B260-005300CF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H116</xm:sqref>
        </x14:conditionalFormatting>
        <x14:conditionalFormatting xmlns:xm="http://schemas.microsoft.com/office/excel/2006/main">
          <x14:cfRule type="expression" priority="66" id="{00FC00D9-0004-48F0-94C1-006200B9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H131</xm:sqref>
        </x14:conditionalFormatting>
        <x14:conditionalFormatting xmlns:xm="http://schemas.microsoft.com/office/excel/2006/main">
          <x14:cfRule type="expression" priority="86" id="{00730055-0031-4539-B6E6-001200AE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H188</xm:sqref>
        </x14:conditionalFormatting>
        <x14:conditionalFormatting xmlns:xm="http://schemas.microsoft.com/office/excel/2006/main">
          <x14:cfRule type="expression" priority="103" id="{006C00CA-0020-42F2-BDCD-00E4003B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H197</xm:sqref>
        </x14:conditionalFormatting>
        <x14:conditionalFormatting xmlns:xm="http://schemas.microsoft.com/office/excel/2006/main">
          <x14:cfRule type="expression" priority="68" id="{003F004C-0044-49C8-BE22-00C3001E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H200</xm:sqref>
        </x14:conditionalFormatting>
        <x14:conditionalFormatting xmlns:xm="http://schemas.microsoft.com/office/excel/2006/main">
          <x14:cfRule type="expression" priority="69" id="{007100E9-0043-4EB3-8CE9-006A00AE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H220</xm:sqref>
        </x14:conditionalFormatting>
        <x14:conditionalFormatting xmlns:xm="http://schemas.microsoft.com/office/excel/2006/main">
          <x14:cfRule type="expression" priority="31" id="{00AA009E-0058-472D-903F-000300FC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H2:I13 H14 H15:I35 H36 I186 H187:I239 H38:I185</xm:sqref>
        </x14:conditionalFormatting>
        <x14:conditionalFormatting xmlns:xm="http://schemas.microsoft.com/office/excel/2006/main">
          <x14:cfRule type="expression" priority="55" id="{009100F2-009B-4BA2-A72F-00D00082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H14:I14</xm:sqref>
        </x14:conditionalFormatting>
        <x14:conditionalFormatting xmlns:xm="http://schemas.microsoft.com/office/excel/2006/main">
          <x14:cfRule type="expression" priority="138" id="{00F700C1-0082-49F9-A1C4-003600B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H57:I57</xm:sqref>
        </x14:conditionalFormatting>
        <x14:conditionalFormatting xmlns:xm="http://schemas.microsoft.com/office/excel/2006/main">
          <x14:cfRule type="expression" priority="140" id="{005F0054-00CE-496E-9314-00E4002B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H60:I60</xm:sqref>
        </x14:conditionalFormatting>
        <x14:conditionalFormatting xmlns:xm="http://schemas.microsoft.com/office/excel/2006/main">
          <x14:cfRule type="expression" priority="149" id="{004300A2-0028-4AAF-8B2D-008A0057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H64:I64</xm:sqref>
        </x14:conditionalFormatting>
        <x14:conditionalFormatting xmlns:xm="http://schemas.microsoft.com/office/excel/2006/main">
          <x14:cfRule type="expression" priority="128" id="{00C600DE-00BA-480D-8E53-00C80072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H66:I66</xm:sqref>
        </x14:conditionalFormatting>
        <x14:conditionalFormatting xmlns:xm="http://schemas.microsoft.com/office/excel/2006/main">
          <x14:cfRule type="expression" priority="61" id="{00C60060-0009-4A96-9985-00480014006F}">
            <xm:f>MOD($O15,2)=0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I15:I19</xm:sqref>
        </x14:conditionalFormatting>
        <x14:conditionalFormatting xmlns:xm="http://schemas.microsoft.com/office/excel/2006/main">
          <x14:cfRule type="expression" priority="40" id="{00DC0001-00FE-4012-962D-00AA0044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I20:I35 I62:I65 I67 I70:I72 I76:I80 I116:I118 I131:I138 I154:I159 I200:I204 I227:I230</xm:sqref>
        </x14:conditionalFormatting>
        <x14:conditionalFormatting xmlns:xm="http://schemas.microsoft.com/office/excel/2006/main">
          <x14:cfRule type="expression" priority="62" id="{005F0048-0076-48B4-81FC-00D4008C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95" id="{003B00BC-0089-43CB-BAE2-00AB0011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I47</xm:sqref>
        </x14:conditionalFormatting>
        <x14:conditionalFormatting xmlns:xm="http://schemas.microsoft.com/office/excel/2006/main">
          <x14:cfRule type="expression" priority="170" id="{004100FA-0004-490D-A02A-00A40004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I53</xm:sqref>
        </x14:conditionalFormatting>
        <x14:conditionalFormatting xmlns:xm="http://schemas.microsoft.com/office/excel/2006/main">
          <x14:cfRule type="expression" priority="158" id="{00F80037-00E5-42A2-B015-00E300A4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I56</xm:sqref>
        </x14:conditionalFormatting>
        <x14:conditionalFormatting xmlns:xm="http://schemas.microsoft.com/office/excel/2006/main">
          <x14:cfRule type="expression" priority="160" id="{006A0084-0046-4D81-A91F-00FE000B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I58</xm:sqref>
        </x14:conditionalFormatting>
        <x14:conditionalFormatting xmlns:xm="http://schemas.microsoft.com/office/excel/2006/main">
          <x14:cfRule type="expression" priority="162" id="{0057005E-001C-43B9-A829-00600030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I63</xm:sqref>
        </x14:conditionalFormatting>
        <x14:conditionalFormatting xmlns:xm="http://schemas.microsoft.com/office/excel/2006/main">
          <x14:cfRule type="expression" priority="164" id="{004E0070-0084-4906-9E3D-008A0002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I65</xm:sqref>
        </x14:conditionalFormatting>
        <x14:conditionalFormatting xmlns:xm="http://schemas.microsoft.com/office/excel/2006/main">
          <x14:cfRule type="expression" priority="166" id="{00A900C3-00E1-4838-9EF8-00A90053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I67</xm:sqref>
        </x14:conditionalFormatting>
        <x14:conditionalFormatting xmlns:xm="http://schemas.microsoft.com/office/excel/2006/main">
          <x14:cfRule type="expression" priority="184" id="{005F00D8-0053-4908-96D0-00CF00C1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I69</xm:sqref>
        </x14:conditionalFormatting>
        <x14:conditionalFormatting xmlns:xm="http://schemas.microsoft.com/office/excel/2006/main">
          <x14:cfRule type="expression" priority="168" id="{00750094-00E0-4B54-B58A-00820038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I70</xm:sqref>
        </x14:conditionalFormatting>
        <x14:conditionalFormatting xmlns:xm="http://schemas.microsoft.com/office/excel/2006/main">
          <x14:cfRule type="expression" priority="182" id="{00CB0037-0014-4CA3-9E83-00A4001E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I74</xm:sqref>
        </x14:conditionalFormatting>
        <x14:conditionalFormatting xmlns:xm="http://schemas.microsoft.com/office/excel/2006/main">
          <x14:cfRule type="expression" priority="71" id="{00AE0049-005A-46C1-8123-009600E0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I81:I104</xm:sqref>
        </x14:conditionalFormatting>
        <x14:conditionalFormatting xmlns:xm="http://schemas.microsoft.com/office/excel/2006/main">
          <x14:cfRule type="expression" priority="136" id="{00EF0083-00F4-466C-AFF5-001C0018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I105</xm:sqref>
        </x14:conditionalFormatting>
        <x14:conditionalFormatting xmlns:xm="http://schemas.microsoft.com/office/excel/2006/main">
          <x14:cfRule type="expression" priority="74" id="{00C800F6-00C0-4CE6-9742-002C0005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I144</xm:sqref>
        </x14:conditionalFormatting>
        <x14:conditionalFormatting xmlns:xm="http://schemas.microsoft.com/office/excel/2006/main">
          <x14:cfRule type="expression" priority="78" id="{0015004D-00E8-49AE-BA2C-00B1009A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I188:I196</xm:sqref>
        </x14:conditionalFormatting>
        <x14:conditionalFormatting xmlns:xm="http://schemas.microsoft.com/office/excel/2006/main">
          <x14:cfRule type="expression" priority="79" id="{00590038-00FF-443E-AF40-00B500E4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I197:I199</xm:sqref>
        </x14:conditionalFormatting>
        <x14:conditionalFormatting xmlns:xm="http://schemas.microsoft.com/office/excel/2006/main">
          <x14:cfRule type="expression" priority="84" id="{00740073-0000-4B48-9AEC-007D0054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I239</xm:sqref>
        </x14:conditionalFormatting>
        <x14:conditionalFormatting xmlns:xm="http://schemas.microsoft.com/office/excel/2006/main">
          <x14:cfRule type="expression" priority="28" id="{003F00B4-00EA-4F60-A0A5-00F4009F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K231:L231</xm:sqref>
        </x14:conditionalFormatting>
        <x14:conditionalFormatting xmlns:xm="http://schemas.microsoft.com/office/excel/2006/main">
          <x14:cfRule type="expression" priority="204" id="{00150048-000E-474D-AEBC-00C10065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19" id="{0014008A-00D7-42FC-B941-009F00FD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O20:O35 O62:O65 O67 O70:O72 O76:O80 O116:O118 O131:O138 O154:O159 O200:O204 O227:O230</xm:sqref>
        </x14:conditionalFormatting>
        <x14:conditionalFormatting xmlns:xm="http://schemas.microsoft.com/office/excel/2006/main">
          <x14:cfRule type="expression" priority="18" id="{000C00E7-000A-4F07-8878-00970007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O25</xm:sqref>
        </x14:conditionalFormatting>
        <x14:conditionalFormatting xmlns:xm="http://schemas.microsoft.com/office/excel/2006/main">
          <x14:cfRule type="expression" priority="20" id="{004B0049-00AC-4BC6-A954-00F800DC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O30</xm:sqref>
        </x14:conditionalFormatting>
        <x14:conditionalFormatting xmlns:xm="http://schemas.microsoft.com/office/excel/2006/main">
          <x14:cfRule type="expression" priority="23" id="{000B0073-00C5-4418-8A6F-007D000A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O45</xm:sqref>
        </x14:conditionalFormatting>
        <x14:conditionalFormatting xmlns:xm="http://schemas.microsoft.com/office/excel/2006/main">
          <x14:cfRule type="expression" priority="17" id="{001600D3-00C5-48EA-971C-003B0013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O47</xm:sqref>
        </x14:conditionalFormatting>
        <x14:conditionalFormatting xmlns:xm="http://schemas.microsoft.com/office/excel/2006/main">
          <x14:cfRule type="expression" priority="24" id="{001F00E0-0071-4A75-A2FE-0089006B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O56</xm:sqref>
        </x14:conditionalFormatting>
        <x14:conditionalFormatting xmlns:xm="http://schemas.microsoft.com/office/excel/2006/main">
          <x14:cfRule type="expression" priority="26" id="{0095005E-0072-4384-8A2B-002900D8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O60</xm:sqref>
        </x14:conditionalFormatting>
        <x14:conditionalFormatting xmlns:xm="http://schemas.microsoft.com/office/excel/2006/main">
          <x14:cfRule type="expression" priority="25" id="{006400A0-0066-40A1-9AB7-00F300D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O67</xm:sqref>
        </x14:conditionalFormatting>
        <x14:conditionalFormatting xmlns:xm="http://schemas.microsoft.com/office/excel/2006/main">
          <x14:cfRule type="expression" priority="27" id="{006D007A-00F7-4BA1-AF8C-002400DB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O74</xm:sqref>
        </x14:conditionalFormatting>
        <x14:conditionalFormatting xmlns:xm="http://schemas.microsoft.com/office/excel/2006/main">
          <x14:cfRule type="expression" priority="21" id="{00C100F7-0021-4274-8FF2-00410003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O150</xm:sqref>
        </x14:conditionalFormatting>
        <x14:conditionalFormatting xmlns:xm="http://schemas.microsoft.com/office/excel/2006/main">
          <x14:cfRule type="expression" priority="13" id="{00100012-0033-4593-AB42-00D50021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O165</xm:sqref>
        </x14:conditionalFormatting>
        <x14:conditionalFormatting xmlns:xm="http://schemas.microsoft.com/office/excel/2006/main">
          <x14:cfRule type="expression" priority="14" id="{00E50015-0045-4F6B-BD87-00A50005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O206</xm:sqref>
        </x14:conditionalFormatting>
        <x14:conditionalFormatting xmlns:xm="http://schemas.microsoft.com/office/excel/2006/main">
          <x14:cfRule type="expression" priority="15" id="{0093002F-00C3-4231-AD2D-00490039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O209</xm:sqref>
        </x14:conditionalFormatting>
        <x14:conditionalFormatting xmlns:xm="http://schemas.microsoft.com/office/excel/2006/main">
          <x14:cfRule type="expression" priority="16" id="{008A00FC-0063-4391-BC56-006B0070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O211</xm:sqref>
        </x14:conditionalFormatting>
        <x14:conditionalFormatting xmlns:xm="http://schemas.microsoft.com/office/excel/2006/main">
          <x14:cfRule type="expression" priority="22" id="{00140027-0019-4D05-9698-000700D1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O232</xm:sqref>
        </x14:conditionalFormatting>
        <x14:conditionalFormatting xmlns:xm="http://schemas.microsoft.com/office/excel/2006/main">
          <x14:cfRule type="expression" priority="1" id="{0032006E-00DB-4211-888A-00C500CC001E}">
            <xm:f>MOD($O1,2)=0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F38:H38</xm:sqref>
        </x14:conditionalFormatting>
        <x14:conditionalFormatting xmlns:xm="http://schemas.microsoft.com/office/excel/2006/main">
          <x14:cfRule type="expression" priority="2" id="{004100D9-0022-467A-B589-00F300B7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2B00AD-0078-4BA7-ACE3-007C004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L38</xm:sqref>
        </x14:conditionalFormatting>
        <x14:conditionalFormatting xmlns:xm="http://schemas.microsoft.com/office/excel/2006/main">
          <x14:cfRule type="expression" priority="2" id="{00EB0063-006A-4BCD-B21A-004300B4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L46</xm:sqref>
        </x14:conditionalFormatting>
        <x14:conditionalFormatting xmlns:xm="http://schemas.microsoft.com/office/excel/2006/main">
          <x14:cfRule type="expression" priority="2" id="{0018007A-00E3-4204-AE53-00750029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L76</xm:sqref>
        </x14:conditionalFormatting>
        <x14:conditionalFormatting xmlns:xm="http://schemas.microsoft.com/office/excel/2006/main">
          <x14:cfRule type="expression" priority="2" id="{00230056-0037-4390-98E4-005E006E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L116</xm:sqref>
        </x14:conditionalFormatting>
        <x14:conditionalFormatting xmlns:xm="http://schemas.microsoft.com/office/excel/2006/main">
          <x14:cfRule type="expression" priority="2" id="{0095004E-00F4-494B-BBC3-004600D2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L131</xm:sqref>
        </x14:conditionalFormatting>
        <x14:conditionalFormatting xmlns:xm="http://schemas.microsoft.com/office/excel/2006/main">
          <x14:cfRule type="expression" priority="2" id="{00330061-0047-40FC-A890-00E40091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L154</xm:sqref>
        </x14:conditionalFormatting>
        <x14:conditionalFormatting xmlns:xm="http://schemas.microsoft.com/office/excel/2006/main">
          <x14:cfRule type="expression" priority="2" id="{0055008D-00F6-4DBA-A7A2-007B00D6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L200</xm:sqref>
        </x14:conditionalFormatting>
        <x14:conditionalFormatting xmlns:xm="http://schemas.microsoft.com/office/excel/2006/main">
          <x14:cfRule type="expression" priority="2" id="{009D0017-00C1-4522-A894-006A00EB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L206</xm:sqref>
        </x14:conditionalFormatting>
        <x14:conditionalFormatting xmlns:xm="http://schemas.microsoft.com/office/excel/2006/main">
          <x14:cfRule type="expression" priority="2" id="{00FA0073-000F-4852-82A1-00C0005E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L220</xm:sqref>
        </x14:conditionalFormatting>
        <x14:conditionalFormatting xmlns:xm="http://schemas.microsoft.com/office/excel/2006/main">
          <x14:cfRule type="expression" priority="2" id="{000F00CF-00D2-4F9F-98C7-00700057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L227</xm:sqref>
        </x14:conditionalFormatting>
        <x14:conditionalFormatting xmlns:xm="http://schemas.microsoft.com/office/excel/2006/main">
          <x14:cfRule type="expression" priority="209" id="{00A500B7-0011-4441-86CA-0084004B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L36</xm:sqref>
        </x14:conditionalFormatting>
        <x14:conditionalFormatting xmlns:xm="http://schemas.microsoft.com/office/excel/2006/main">
          <x14:cfRule type="expression" priority="30" id="{007600BB-00B1-4EE3-9333-00990022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L107</xm:sqref>
        </x14:conditionalFormatting>
        <x14:conditionalFormatting xmlns:xm="http://schemas.microsoft.com/office/excel/2006/main">
          <x14:cfRule type="expression" priority="2" id="{002B005B-00C8-408B-AED8-0055007C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L2:L239</xm:sqref>
        </x14:conditionalFormatting>
        <x14:conditionalFormatting xmlns:xm="http://schemas.microsoft.com/office/excel/2006/main">
          <x14:cfRule type="expression" priority="6724" id="{004600CE-0097-459E-B8C9-00C800CC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L148</xm:sqref>
        </x14:conditionalFormatting>
        <x14:conditionalFormatting xmlns:xm="http://schemas.microsoft.com/office/excel/2006/main">
          <x14:cfRule type="expression" priority="6720" id="{005F00C8-0060-4563-B30D-00A90052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L149</xm:sqref>
        </x14:conditionalFormatting>
        <x14:conditionalFormatting xmlns:xm="http://schemas.microsoft.com/office/excel/2006/main">
          <x14:cfRule type="expression" priority="28" id="{002200DC-0039-4813-876F-007D0062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L231</xm:sqref>
        </x14:conditionalFormatting>
        <x14:conditionalFormatting xmlns:xm="http://schemas.microsoft.com/office/excel/2006/main">
          <x14:cfRule type="expression" priority="204" id="{0019006B-00DE-48F9-BC80-00830031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2" id="{00AD008F-00A7-40CB-B699-00D80033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L38</xm:sqref>
        </x14:conditionalFormatting>
        <x14:conditionalFormatting xmlns:xm="http://schemas.microsoft.com/office/excel/2006/main">
          <x14:cfRule type="expression" priority="2" id="{001B00BC-0099-4398-8DD7-00D10038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L46</xm:sqref>
        </x14:conditionalFormatting>
        <x14:conditionalFormatting xmlns:xm="http://schemas.microsoft.com/office/excel/2006/main">
          <x14:cfRule type="expression" priority="2" id="{00280030-005C-4C73-BA8B-0080003A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L76</xm:sqref>
        </x14:conditionalFormatting>
        <x14:conditionalFormatting xmlns:xm="http://schemas.microsoft.com/office/excel/2006/main">
          <x14:cfRule type="expression" priority="2" id="{003C00A0-00D3-4D92-99EE-006800B3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L116</xm:sqref>
        </x14:conditionalFormatting>
        <x14:conditionalFormatting xmlns:xm="http://schemas.microsoft.com/office/excel/2006/main">
          <x14:cfRule type="expression" priority="2" id="{0019007F-0014-4120-9224-00850079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L131</xm:sqref>
        </x14:conditionalFormatting>
        <x14:conditionalFormatting xmlns:xm="http://schemas.microsoft.com/office/excel/2006/main">
          <x14:cfRule type="expression" priority="2" id="{00E500FF-0033-4BEA-AAEE-00760050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L154</xm:sqref>
        </x14:conditionalFormatting>
        <x14:conditionalFormatting xmlns:xm="http://schemas.microsoft.com/office/excel/2006/main">
          <x14:cfRule type="expression" priority="2" id="{006A0008-0024-45DC-A696-00F40080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L200</xm:sqref>
        </x14:conditionalFormatting>
        <x14:conditionalFormatting xmlns:xm="http://schemas.microsoft.com/office/excel/2006/main">
          <x14:cfRule type="expression" priority="2" id="{004A00A6-0091-4943-BC24-00F10070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L206</xm:sqref>
        </x14:conditionalFormatting>
        <x14:conditionalFormatting xmlns:xm="http://schemas.microsoft.com/office/excel/2006/main">
          <x14:cfRule type="expression" priority="2" id="{008B0044-009C-473F-A790-001C002B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L220</xm:sqref>
        </x14:conditionalFormatting>
        <x14:conditionalFormatting xmlns:xm="http://schemas.microsoft.com/office/excel/2006/main">
          <x14:cfRule type="expression" priority="2" id="{005A00BC-006F-4DED-A66B-007000BA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L227</xm:sqref>
        </x14:conditionalFormatting>
        <x14:conditionalFormatting xmlns:xm="http://schemas.microsoft.com/office/excel/2006/main">
          <x14:cfRule type="expression" priority="2" id="{00AC0036-0042-44D4-B61C-003A00B0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98" id="{00C30040-00BD-40B8-A3AD-00160027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2" id="{00E500B3-0031-4DF9-9181-00ED005D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820034-0078-4693-A53E-00BC0023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6300A9-0084-46B1-9FBD-004E006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650027-009A-4C7C-BA30-005900BF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3200D5-0040-4746-AF4D-008D0014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C45</xm:sqref>
        </x14:conditionalFormatting>
        <x14:conditionalFormatting xmlns:xm="http://schemas.microsoft.com/office/excel/2006/main">
          <x14:cfRule type="expression" priority="198" id="{00310079-003F-4809-97BE-000B0091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C45</xm:sqref>
        </x14:conditionalFormatting>
        <x14:conditionalFormatting xmlns:xm="http://schemas.microsoft.com/office/excel/2006/main">
          <x14:cfRule type="expression" priority="2" id="{00F800C2-00D7-464C-BC73-002E00C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C45</xm:sqref>
        </x14:conditionalFormatting>
        <x14:conditionalFormatting xmlns:xm="http://schemas.microsoft.com/office/excel/2006/main">
          <x14:cfRule type="expression" priority="198" id="{00AD0078-0083-48B6-810D-005C001C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C45</xm:sqref>
        </x14:conditionalFormatting>
        <x14:conditionalFormatting xmlns:xm="http://schemas.microsoft.com/office/excel/2006/main">
          <x14:cfRule type="expression" priority="2" id="{00A9000F-0072-4B45-AD4C-009D0005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C50</xm:sqref>
        </x14:conditionalFormatting>
        <x14:conditionalFormatting xmlns:xm="http://schemas.microsoft.com/office/excel/2006/main">
          <x14:cfRule type="expression" priority="198" id="{0008003F-001A-435A-A489-00A0001B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C50</xm:sqref>
        </x14:conditionalFormatting>
        <x14:conditionalFormatting xmlns:xm="http://schemas.microsoft.com/office/excel/2006/main">
          <x14:cfRule type="expression" priority="2" id="{00DA0026-002A-4744-901F-0067006D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C50</xm:sqref>
        </x14:conditionalFormatting>
        <x14:conditionalFormatting xmlns:xm="http://schemas.microsoft.com/office/excel/2006/main">
          <x14:cfRule type="expression" priority="198" id="{009D00A9-0065-4805-A760-00ED0082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C50</xm:sqref>
        </x14:conditionalFormatting>
        <x14:conditionalFormatting xmlns:xm="http://schemas.microsoft.com/office/excel/2006/main">
          <x14:cfRule type="expression" priority="2" id="{00BC0059-008A-46B8-8F0B-007A0046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C81</xm:sqref>
        </x14:conditionalFormatting>
        <x14:conditionalFormatting xmlns:xm="http://schemas.microsoft.com/office/excel/2006/main">
          <x14:cfRule type="expression" priority="198" id="{00F60008-0009-4014-84FB-00CA00FA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C81</xm:sqref>
        </x14:conditionalFormatting>
        <x14:conditionalFormatting xmlns:xm="http://schemas.microsoft.com/office/excel/2006/main">
          <x14:cfRule type="expression" priority="2" id="{00DF0094-004B-4D99-B739-0024006F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C81</xm:sqref>
        </x14:conditionalFormatting>
        <x14:conditionalFormatting xmlns:xm="http://schemas.microsoft.com/office/excel/2006/main">
          <x14:cfRule type="expression" priority="198" id="{00520070-0084-40E7-980C-00DB0082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C81</xm:sqref>
        </x14:conditionalFormatting>
        <x14:conditionalFormatting xmlns:xm="http://schemas.microsoft.com/office/excel/2006/main">
          <x14:cfRule type="expression" priority="2" id="{0019003F-005B-4674-88ED-000200EA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C119</xm:sqref>
        </x14:conditionalFormatting>
        <x14:conditionalFormatting xmlns:xm="http://schemas.microsoft.com/office/excel/2006/main">
          <x14:cfRule type="expression" priority="198" id="{0088005F-0021-4D12-ADC4-0019000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C119</xm:sqref>
        </x14:conditionalFormatting>
        <x14:conditionalFormatting xmlns:xm="http://schemas.microsoft.com/office/excel/2006/main">
          <x14:cfRule type="expression" priority="2" id="{009C0009-00D7-4FCF-AFCC-00420084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C119</xm:sqref>
        </x14:conditionalFormatting>
        <x14:conditionalFormatting xmlns:xm="http://schemas.microsoft.com/office/excel/2006/main">
          <x14:cfRule type="expression" priority="198" id="{00340092-00DF-4F69-BD35-006F00E5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C119</xm:sqref>
        </x14:conditionalFormatting>
        <x14:conditionalFormatting xmlns:xm="http://schemas.microsoft.com/office/excel/2006/main">
          <x14:cfRule type="expression" priority="2" id="{00450058-00F6-42F0-A492-00B70094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C139</xm:sqref>
        </x14:conditionalFormatting>
        <x14:conditionalFormatting xmlns:xm="http://schemas.microsoft.com/office/excel/2006/main">
          <x14:cfRule type="expression" priority="198" id="{0022009B-000E-4E92-BA51-00AF007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C139</xm:sqref>
        </x14:conditionalFormatting>
        <x14:conditionalFormatting xmlns:xm="http://schemas.microsoft.com/office/excel/2006/main">
          <x14:cfRule type="expression" priority="2" id="{000D00FE-0056-41B4-BFE1-004C00DD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C139</xm:sqref>
        </x14:conditionalFormatting>
        <x14:conditionalFormatting xmlns:xm="http://schemas.microsoft.com/office/excel/2006/main">
          <x14:cfRule type="expression" priority="198" id="{001700D8-00E0-454D-B844-004E006D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C139</xm:sqref>
        </x14:conditionalFormatting>
        <x14:conditionalFormatting xmlns:xm="http://schemas.microsoft.com/office/excel/2006/main">
          <x14:cfRule type="expression" priority="2" id="{008600AA-00AD-4186-AA78-0055008F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C160</xm:sqref>
        </x14:conditionalFormatting>
        <x14:conditionalFormatting xmlns:xm="http://schemas.microsoft.com/office/excel/2006/main">
          <x14:cfRule type="expression" priority="198" id="{00FA00D3-0033-4568-8D67-00980059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C160</xm:sqref>
        </x14:conditionalFormatting>
        <x14:conditionalFormatting xmlns:xm="http://schemas.microsoft.com/office/excel/2006/main">
          <x14:cfRule type="expression" priority="2" id="{00B000D3-005A-4F75-B91B-005C001F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C160</xm:sqref>
        </x14:conditionalFormatting>
        <x14:conditionalFormatting xmlns:xm="http://schemas.microsoft.com/office/excel/2006/main">
          <x14:cfRule type="expression" priority="198" id="{0076002B-002D-4301-91F6-00550021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C160</xm:sqref>
        </x14:conditionalFormatting>
        <x14:conditionalFormatting xmlns:xm="http://schemas.microsoft.com/office/excel/2006/main">
          <x14:cfRule type="expression" priority="2" id="{004D00C9-0086-452E-ACE9-00DB0081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C207</xm:sqref>
        </x14:conditionalFormatting>
        <x14:conditionalFormatting xmlns:xm="http://schemas.microsoft.com/office/excel/2006/main">
          <x14:cfRule type="expression" priority="198" id="{00A60042-00D0-4395-B787-00FD006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C207</xm:sqref>
        </x14:conditionalFormatting>
        <x14:conditionalFormatting xmlns:xm="http://schemas.microsoft.com/office/excel/2006/main">
          <x14:cfRule type="expression" priority="2" id="{00BF0016-003E-48F8-B8B0-006B009E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C207</xm:sqref>
        </x14:conditionalFormatting>
        <x14:conditionalFormatting xmlns:xm="http://schemas.microsoft.com/office/excel/2006/main">
          <x14:cfRule type="expression" priority="198" id="{005500D7-00FF-4E98-8E6F-00D4006B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C207</xm:sqref>
        </x14:conditionalFormatting>
        <x14:conditionalFormatting xmlns:xm="http://schemas.microsoft.com/office/excel/2006/main">
          <x14:cfRule type="expression" priority="2" id="{001800FC-0061-4B39-AC89-009800B3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C221</xm:sqref>
        </x14:conditionalFormatting>
        <x14:conditionalFormatting xmlns:xm="http://schemas.microsoft.com/office/excel/2006/main">
          <x14:cfRule type="expression" priority="198" id="{00BA00FE-00A2-41CA-9491-006000F9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C221</xm:sqref>
        </x14:conditionalFormatting>
        <x14:conditionalFormatting xmlns:xm="http://schemas.microsoft.com/office/excel/2006/main">
          <x14:cfRule type="expression" priority="2" id="{000700F7-0035-40A8-AC0C-001F0069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C221</xm:sqref>
        </x14:conditionalFormatting>
        <x14:conditionalFormatting xmlns:xm="http://schemas.microsoft.com/office/excel/2006/main">
          <x14:cfRule type="expression" priority="198" id="{004B008E-0040-4DCB-AED8-006800CB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C221</xm:sqref>
        </x14:conditionalFormatting>
        <x14:conditionalFormatting xmlns:xm="http://schemas.microsoft.com/office/excel/2006/main">
          <x14:cfRule type="expression" priority="2" id="{004B0044-00F6-4E88-820F-00FA0027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C231</xm:sqref>
        </x14:conditionalFormatting>
        <x14:conditionalFormatting xmlns:xm="http://schemas.microsoft.com/office/excel/2006/main">
          <x14:cfRule type="expression" priority="198" id="{00860074-00A1-4146-B78C-00A300A4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C231</xm:sqref>
        </x14:conditionalFormatting>
        <x14:conditionalFormatting xmlns:xm="http://schemas.microsoft.com/office/excel/2006/main">
          <x14:cfRule type="expression" priority="2" id="{006900BA-00B6-4CC9-AA83-00BE0093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C231</xm:sqref>
        </x14:conditionalFormatting>
        <x14:conditionalFormatting xmlns:xm="http://schemas.microsoft.com/office/excel/2006/main">
          <x14:cfRule type="expression" priority="198" id="{00560098-0031-4F63-A06B-00A20023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C231</xm:sqref>
        </x14:conditionalFormatting>
        <x14:conditionalFormatting xmlns:xm="http://schemas.microsoft.com/office/excel/2006/main">
          <x14:cfRule type="expression" priority="2" id="{0079002C-00C6-4E89-8520-00820092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7C0038-00A7-4F71-9530-003300CF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2E006D-00E9-4DAC-A862-002F00F6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D37</xm:sqref>
        </x14:conditionalFormatting>
        <x14:conditionalFormatting xmlns:xm="http://schemas.microsoft.com/office/excel/2006/main">
          <x14:cfRule type="expression" priority="209" id="{009800C5-0012-4840-AAED-007A000F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A37</xm:sqref>
        </x14:conditionalFormatting>
        <x14:conditionalFormatting xmlns:xm="http://schemas.microsoft.com/office/excel/2006/main">
          <x14:cfRule type="expression" priority="2" id="{007900A7-00A5-480E-AB1B-00790047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A37 C37</xm:sqref>
        </x14:conditionalFormatting>
        <x14:conditionalFormatting xmlns:xm="http://schemas.microsoft.com/office/excel/2006/main">
          <x14:cfRule type="expression" priority="2" id="{00BB0061-0062-4B81-95B1-002A00DA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K37:L37 N37</xm:sqref>
        </x14:conditionalFormatting>
        <x14:conditionalFormatting xmlns:xm="http://schemas.microsoft.com/office/excel/2006/main">
          <x14:cfRule type="expression" priority="315" id="{00860033-002C-4E7A-925A-00BF0090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G37</xm:sqref>
        </x14:conditionalFormatting>
        <x14:conditionalFormatting xmlns:xm="http://schemas.microsoft.com/office/excel/2006/main">
          <x14:cfRule type="expression" priority="318" id="{00650014-00BB-45C0-82B7-00F600AE003B}">
            <xm:f>MOD($O26,2)=0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F37:G37</xm:sqref>
        </x14:conditionalFormatting>
        <x14:conditionalFormatting xmlns:xm="http://schemas.microsoft.com/office/excel/2006/main">
          <x14:cfRule type="expression" priority="31" id="{00A7008A-003A-4D32-ADA2-0093008D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H37:I37</xm:sqref>
        </x14:conditionalFormatting>
        <x14:conditionalFormatting xmlns:xm="http://schemas.microsoft.com/office/excel/2006/main">
          <x14:cfRule type="expression" priority="40" id="{00700051-00EE-4917-AB46-008C00B4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I37</xm:sqref>
        </x14:conditionalFormatting>
        <x14:conditionalFormatting xmlns:xm="http://schemas.microsoft.com/office/excel/2006/main">
          <x14:cfRule type="expression" priority="2" id="{0077007F-00A9-4A3C-840D-00750010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L37</xm:sqref>
        </x14:conditionalFormatting>
        <x14:conditionalFormatting xmlns:xm="http://schemas.microsoft.com/office/excel/2006/main">
          <x14:cfRule type="expression" priority="2" id="{0033007D-0008-4930-93D1-00F30075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C5</xm:sqref>
        </x14:conditionalFormatting>
        <x14:conditionalFormatting xmlns:xm="http://schemas.microsoft.com/office/excel/2006/main">
          <x14:cfRule type="expression" priority="2" id="{005F006F-00CE-414B-A807-00440010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C6</xm:sqref>
        </x14:conditionalFormatting>
        <x14:conditionalFormatting xmlns:xm="http://schemas.microsoft.com/office/excel/2006/main">
          <x14:cfRule type="expression" priority="2" id="{0068000A-0046-48E9-9CBC-00F500FB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7F0009-00DF-4828-A74A-0060007F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9A00B8-0014-4B05-B8BF-009700FD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4E00CF-00D1-4DCB-A87D-006200FD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60001E-00F2-470A-8F9C-00E800C4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K46</xm:sqref>
        </x14:conditionalFormatting>
        <x14:conditionalFormatting xmlns:xm="http://schemas.microsoft.com/office/excel/2006/main">
          <x14:cfRule type="expression" priority="2" id="{00B3001A-00FB-4E5E-9BA7-00F2007F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K46</xm:sqref>
        </x14:conditionalFormatting>
        <x14:conditionalFormatting xmlns:xm="http://schemas.microsoft.com/office/excel/2006/main">
          <x14:cfRule type="expression" priority="2" id="{00E90098-00F0-48C5-AEDF-003800B1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K46</xm:sqref>
        </x14:conditionalFormatting>
        <x14:conditionalFormatting xmlns:xm="http://schemas.microsoft.com/office/excel/2006/main">
          <x14:cfRule type="expression" priority="2" id="{00990007-0028-4ACC-A34C-005900FA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K46</xm:sqref>
        </x14:conditionalFormatting>
        <x14:conditionalFormatting xmlns:xm="http://schemas.microsoft.com/office/excel/2006/main">
          <x14:cfRule type="expression" priority="2" id="{00540056-006E-44E2-877F-004F00F0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K76</xm:sqref>
        </x14:conditionalFormatting>
        <x14:conditionalFormatting xmlns:xm="http://schemas.microsoft.com/office/excel/2006/main">
          <x14:cfRule type="expression" priority="2" id="{003C00FE-0009-4E43-922F-00EF0048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K76</xm:sqref>
        </x14:conditionalFormatting>
        <x14:conditionalFormatting xmlns:xm="http://schemas.microsoft.com/office/excel/2006/main">
          <x14:cfRule type="expression" priority="2" id="{00140068-00D1-4827-84B3-00390036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K76</xm:sqref>
        </x14:conditionalFormatting>
        <x14:conditionalFormatting xmlns:xm="http://schemas.microsoft.com/office/excel/2006/main">
          <x14:cfRule type="expression" priority="2" id="{00D50031-00D5-4EE9-B1CC-00CD00C1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K76</xm:sqref>
        </x14:conditionalFormatting>
        <x14:conditionalFormatting xmlns:xm="http://schemas.microsoft.com/office/excel/2006/main">
          <x14:cfRule type="expression" priority="2" id="{00DB00FC-0021-41EE-9859-00CB0080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K116</xm:sqref>
        </x14:conditionalFormatting>
        <x14:conditionalFormatting xmlns:xm="http://schemas.microsoft.com/office/excel/2006/main">
          <x14:cfRule type="expression" priority="2" id="{00AE00E9-0025-46F4-A9A7-002700EB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K116</xm:sqref>
        </x14:conditionalFormatting>
        <x14:conditionalFormatting xmlns:xm="http://schemas.microsoft.com/office/excel/2006/main">
          <x14:cfRule type="expression" priority="2" id="{00C00097-0095-47F4-B956-002D0022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K116</xm:sqref>
        </x14:conditionalFormatting>
        <x14:conditionalFormatting xmlns:xm="http://schemas.microsoft.com/office/excel/2006/main">
          <x14:cfRule type="expression" priority="2" id="{00FF0016-0089-403A-950C-00580065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K116</xm:sqref>
        </x14:conditionalFormatting>
        <x14:conditionalFormatting xmlns:xm="http://schemas.microsoft.com/office/excel/2006/main">
          <x14:cfRule type="expression" priority="2" id="{006C00D3-00A2-4A03-BCEC-00A600E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K131</xm:sqref>
        </x14:conditionalFormatting>
        <x14:conditionalFormatting xmlns:xm="http://schemas.microsoft.com/office/excel/2006/main">
          <x14:cfRule type="expression" priority="2" id="{007C002F-0002-4A20-8F9E-001900FA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K131</xm:sqref>
        </x14:conditionalFormatting>
        <x14:conditionalFormatting xmlns:xm="http://schemas.microsoft.com/office/excel/2006/main">
          <x14:cfRule type="expression" priority="2" id="{004900D9-0096-42F2-A113-00FF005C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K131</xm:sqref>
        </x14:conditionalFormatting>
        <x14:conditionalFormatting xmlns:xm="http://schemas.microsoft.com/office/excel/2006/main">
          <x14:cfRule type="expression" priority="2" id="{00C30034-009F-43BA-8C1E-00890031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K131</xm:sqref>
        </x14:conditionalFormatting>
        <x14:conditionalFormatting xmlns:xm="http://schemas.microsoft.com/office/excel/2006/main">
          <x14:cfRule type="expression" priority="2" id="{000B00F0-008F-4E7D-8F05-00BB00DB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K154</xm:sqref>
        </x14:conditionalFormatting>
        <x14:conditionalFormatting xmlns:xm="http://schemas.microsoft.com/office/excel/2006/main">
          <x14:cfRule type="expression" priority="2" id="{00310025-00BC-430C-8B1A-008C000A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K154</xm:sqref>
        </x14:conditionalFormatting>
        <x14:conditionalFormatting xmlns:xm="http://schemas.microsoft.com/office/excel/2006/main">
          <x14:cfRule type="expression" priority="2" id="{00B60053-0023-47BB-8EA1-004A002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K154</xm:sqref>
        </x14:conditionalFormatting>
        <x14:conditionalFormatting xmlns:xm="http://schemas.microsoft.com/office/excel/2006/main">
          <x14:cfRule type="expression" priority="2" id="{00FD00D2-0020-4C7C-8E2D-00EC00DD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K154</xm:sqref>
        </x14:conditionalFormatting>
        <x14:conditionalFormatting xmlns:xm="http://schemas.microsoft.com/office/excel/2006/main">
          <x14:cfRule type="expression" priority="2" id="{00A60084-0072-4C1C-BC6F-0081008D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K200</xm:sqref>
        </x14:conditionalFormatting>
        <x14:conditionalFormatting xmlns:xm="http://schemas.microsoft.com/office/excel/2006/main">
          <x14:cfRule type="expression" priority="2" id="{00E500BA-0075-44CC-9214-004F0010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K200</xm:sqref>
        </x14:conditionalFormatting>
        <x14:conditionalFormatting xmlns:xm="http://schemas.microsoft.com/office/excel/2006/main">
          <x14:cfRule type="expression" priority="2" id="{007C000B-0043-4328-B587-00EF0004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K200</xm:sqref>
        </x14:conditionalFormatting>
        <x14:conditionalFormatting xmlns:xm="http://schemas.microsoft.com/office/excel/2006/main">
          <x14:cfRule type="expression" priority="2" id="{0013009A-005D-4617-80A2-008B00F7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K200</xm:sqref>
        </x14:conditionalFormatting>
        <x14:conditionalFormatting xmlns:xm="http://schemas.microsoft.com/office/excel/2006/main">
          <x14:cfRule type="expression" priority="2" id="{000900AD-0010-448D-9703-008C001B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K206</xm:sqref>
        </x14:conditionalFormatting>
        <x14:conditionalFormatting xmlns:xm="http://schemas.microsoft.com/office/excel/2006/main">
          <x14:cfRule type="expression" priority="2" id="{000B00D2-004C-4171-9C80-009200FC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K206</xm:sqref>
        </x14:conditionalFormatting>
        <x14:conditionalFormatting xmlns:xm="http://schemas.microsoft.com/office/excel/2006/main">
          <x14:cfRule type="expression" priority="2" id="{002400F5-006A-4204-841C-005F00C1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K206</xm:sqref>
        </x14:conditionalFormatting>
        <x14:conditionalFormatting xmlns:xm="http://schemas.microsoft.com/office/excel/2006/main">
          <x14:cfRule type="expression" priority="2" id="{00C7008C-005B-4CDD-9F2C-00C10080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K206</xm:sqref>
        </x14:conditionalFormatting>
        <x14:conditionalFormatting xmlns:xm="http://schemas.microsoft.com/office/excel/2006/main">
          <x14:cfRule type="expression" priority="2" id="{0048000D-007B-4D28-A692-00CE0018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K220</xm:sqref>
        </x14:conditionalFormatting>
        <x14:conditionalFormatting xmlns:xm="http://schemas.microsoft.com/office/excel/2006/main">
          <x14:cfRule type="expression" priority="2" id="{003C00F4-0007-4AEB-B993-0035009F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K220</xm:sqref>
        </x14:conditionalFormatting>
        <x14:conditionalFormatting xmlns:xm="http://schemas.microsoft.com/office/excel/2006/main">
          <x14:cfRule type="expression" priority="2" id="{002000F2-00A9-4FBE-B9BF-00B40054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K220</xm:sqref>
        </x14:conditionalFormatting>
        <x14:conditionalFormatting xmlns:xm="http://schemas.microsoft.com/office/excel/2006/main">
          <x14:cfRule type="expression" priority="2" id="{008400CE-0025-4B0E-BF3F-009900B3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K220</xm:sqref>
        </x14:conditionalFormatting>
        <x14:conditionalFormatting xmlns:xm="http://schemas.microsoft.com/office/excel/2006/main">
          <x14:cfRule type="expression" priority="2" id="{009000AD-0096-4318-82E7-0088009C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K227</xm:sqref>
        </x14:conditionalFormatting>
        <x14:conditionalFormatting xmlns:xm="http://schemas.microsoft.com/office/excel/2006/main">
          <x14:cfRule type="expression" priority="2" id="{00B3005D-006E-4AEA-9EC2-007900E3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K227</xm:sqref>
        </x14:conditionalFormatting>
        <x14:conditionalFormatting xmlns:xm="http://schemas.microsoft.com/office/excel/2006/main">
          <x14:cfRule type="expression" priority="2" id="{00E400A0-0073-46BB-9C69-00810011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K227</xm:sqref>
        </x14:conditionalFormatting>
        <x14:conditionalFormatting xmlns:xm="http://schemas.microsoft.com/office/excel/2006/main">
          <x14:cfRule type="expression" priority="2" id="{009B00B8-00B9-4E5E-AF0A-00EB0039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K227</xm:sqref>
        </x14:conditionalFormatting>
        <x14:conditionalFormatting xmlns:xm="http://schemas.microsoft.com/office/excel/2006/main">
          <x14:cfRule type="expression" priority="2" id="{000C00FD-00AE-40D7-B3D4-00000041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K243</xm:sqref>
        </x14:conditionalFormatting>
        <x14:conditionalFormatting xmlns:xm="http://schemas.microsoft.com/office/excel/2006/main">
          <x14:cfRule type="expression" priority="2" id="{00A7002F-008A-4FE5-8BAB-002D0077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K243</xm:sqref>
        </x14:conditionalFormatting>
        <x14:conditionalFormatting xmlns:xm="http://schemas.microsoft.com/office/excel/2006/main">
          <x14:cfRule type="expression" priority="2" id="{0049003B-00C8-4123-8574-002700B0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K243</xm:sqref>
        </x14:conditionalFormatting>
        <x14:conditionalFormatting xmlns:xm="http://schemas.microsoft.com/office/excel/2006/main">
          <x14:cfRule type="expression" priority="2" id="{003500FB-0035-47DF-9338-007D0026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K243</xm:sqref>
        </x14:conditionalFormatting>
        <x14:conditionalFormatting xmlns:xm="http://schemas.microsoft.com/office/excel/2006/main">
          <x14:cfRule type="expression" priority="209" id="{003B005A-00A0-4EAA-82B6-00A200FC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J36</xm:sqref>
        </x14:conditionalFormatting>
        <x14:conditionalFormatting xmlns:xm="http://schemas.microsoft.com/office/excel/2006/main">
          <x14:cfRule type="expression" priority="30" id="{00AE00A3-00E5-4A12-8A70-00B60087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J107</xm:sqref>
        </x14:conditionalFormatting>
        <x14:conditionalFormatting xmlns:xm="http://schemas.microsoft.com/office/excel/2006/main">
          <x14:cfRule type="expression" priority="2" id="{00940001-0040-4292-B84C-000500CA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J2:J239</xm:sqref>
        </x14:conditionalFormatting>
        <x14:conditionalFormatting xmlns:xm="http://schemas.microsoft.com/office/excel/2006/main">
          <x14:cfRule type="expression" priority="6724" id="{002A007B-00EF-48B4-89D2-00F4007E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J148</xm:sqref>
        </x14:conditionalFormatting>
        <x14:conditionalFormatting xmlns:xm="http://schemas.microsoft.com/office/excel/2006/main">
          <x14:cfRule type="expression" priority="6720" id="{00D500D0-00D2-4DBE-A28C-0078001E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J149</xm:sqref>
        </x14:conditionalFormatting>
        <x14:conditionalFormatting xmlns:xm="http://schemas.microsoft.com/office/excel/2006/main">
          <x14:cfRule type="expression" priority="28" id="{00020019-0074-446C-880A-00D10087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J231</xm:sqref>
        </x14:conditionalFormatting>
        <x14:conditionalFormatting xmlns:xm="http://schemas.microsoft.com/office/excel/2006/main">
          <x14:cfRule type="expression" priority="2" id="{00C60065-00BC-445F-8086-00BA001E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340019-0088-4A48-956C-000C0059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BC0039-009A-4F63-89FA-00C90091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BC008F-0041-467E-9334-0028000A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400085-00F2-4206-ACDA-008D004A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BF00C8-0048-4A19-A81D-002F0091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4C00F8-005C-4A2B-84A5-00230091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C200A1-0069-4762-AEF0-00DA0020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6C00FA-0006-4221-9961-0081002E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J46</xm:sqref>
        </x14:conditionalFormatting>
        <x14:conditionalFormatting xmlns:xm="http://schemas.microsoft.com/office/excel/2006/main">
          <x14:cfRule type="expression" priority="2" id="{004A0070-00C8-4D71-9467-00000029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J46</xm:sqref>
        </x14:conditionalFormatting>
        <x14:conditionalFormatting xmlns:xm="http://schemas.microsoft.com/office/excel/2006/main">
          <x14:cfRule type="expression" priority="2" id="{005700D2-007E-48F0-8624-00860094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J46</xm:sqref>
        </x14:conditionalFormatting>
        <x14:conditionalFormatting xmlns:xm="http://schemas.microsoft.com/office/excel/2006/main">
          <x14:cfRule type="expression" priority="2" id="{00C900C3-00DC-4C15-8246-003B00AC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J46</xm:sqref>
        </x14:conditionalFormatting>
        <x14:conditionalFormatting xmlns:xm="http://schemas.microsoft.com/office/excel/2006/main">
          <x14:cfRule type="expression" priority="2" id="{00E10098-007C-4C4A-944E-00820044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J76</xm:sqref>
        </x14:conditionalFormatting>
        <x14:conditionalFormatting xmlns:xm="http://schemas.microsoft.com/office/excel/2006/main">
          <x14:cfRule type="expression" priority="2" id="{00BB0060-0003-4561-ABDE-00920099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J76</xm:sqref>
        </x14:conditionalFormatting>
        <x14:conditionalFormatting xmlns:xm="http://schemas.microsoft.com/office/excel/2006/main">
          <x14:cfRule type="expression" priority="2" id="{000400DE-0013-4665-A6A5-004100E6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J76</xm:sqref>
        </x14:conditionalFormatting>
        <x14:conditionalFormatting xmlns:xm="http://schemas.microsoft.com/office/excel/2006/main">
          <x14:cfRule type="expression" priority="2" id="{0001009D-00C8-41F6-98D2-0005001A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J76</xm:sqref>
        </x14:conditionalFormatting>
        <x14:conditionalFormatting xmlns:xm="http://schemas.microsoft.com/office/excel/2006/main">
          <x14:cfRule type="expression" priority="2" id="{00420037-00C6-4E9C-ABF0-002D0020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J116</xm:sqref>
        </x14:conditionalFormatting>
        <x14:conditionalFormatting xmlns:xm="http://schemas.microsoft.com/office/excel/2006/main">
          <x14:cfRule type="expression" priority="2" id="{0064007C-00B9-49CD-8772-005800CA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J116</xm:sqref>
        </x14:conditionalFormatting>
        <x14:conditionalFormatting xmlns:xm="http://schemas.microsoft.com/office/excel/2006/main">
          <x14:cfRule type="expression" priority="2" id="{008F0008-00CA-43D0-8BAA-00EB00BD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J116</xm:sqref>
        </x14:conditionalFormatting>
        <x14:conditionalFormatting xmlns:xm="http://schemas.microsoft.com/office/excel/2006/main">
          <x14:cfRule type="expression" priority="2" id="{00E100DC-0001-41D5-B52B-0063000D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J116</xm:sqref>
        </x14:conditionalFormatting>
        <x14:conditionalFormatting xmlns:xm="http://schemas.microsoft.com/office/excel/2006/main">
          <x14:cfRule type="expression" priority="2" id="{002E00FF-006F-41CF-8168-00370009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J131</xm:sqref>
        </x14:conditionalFormatting>
        <x14:conditionalFormatting xmlns:xm="http://schemas.microsoft.com/office/excel/2006/main">
          <x14:cfRule type="expression" priority="2" id="{00B0006A-006B-4E11-9E85-00EF0058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J131</xm:sqref>
        </x14:conditionalFormatting>
        <x14:conditionalFormatting xmlns:xm="http://schemas.microsoft.com/office/excel/2006/main">
          <x14:cfRule type="expression" priority="2" id="{00030087-00BD-4C1F-8296-00B50055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J131</xm:sqref>
        </x14:conditionalFormatting>
        <x14:conditionalFormatting xmlns:xm="http://schemas.microsoft.com/office/excel/2006/main">
          <x14:cfRule type="expression" priority="2" id="{000C0082-00BA-47EB-8239-00DE00EA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J131</xm:sqref>
        </x14:conditionalFormatting>
        <x14:conditionalFormatting xmlns:xm="http://schemas.microsoft.com/office/excel/2006/main">
          <x14:cfRule type="expression" priority="2" id="{006100C1-00C9-4828-BA39-00CA00B9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J154</xm:sqref>
        </x14:conditionalFormatting>
        <x14:conditionalFormatting xmlns:xm="http://schemas.microsoft.com/office/excel/2006/main">
          <x14:cfRule type="expression" priority="2" id="{004300E3-00D1-401B-8EDE-006700B0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J154</xm:sqref>
        </x14:conditionalFormatting>
        <x14:conditionalFormatting xmlns:xm="http://schemas.microsoft.com/office/excel/2006/main">
          <x14:cfRule type="expression" priority="2" id="{0020004A-00C2-4E55-989E-003B0098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J154</xm:sqref>
        </x14:conditionalFormatting>
        <x14:conditionalFormatting xmlns:xm="http://schemas.microsoft.com/office/excel/2006/main">
          <x14:cfRule type="expression" priority="2" id="{00A500A5-0043-4FE2-880C-00C10028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J154</xm:sqref>
        </x14:conditionalFormatting>
        <x14:conditionalFormatting xmlns:xm="http://schemas.microsoft.com/office/excel/2006/main">
          <x14:cfRule type="expression" priority="2" id="{005A0086-00FA-4E38-B561-0038006F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J200</xm:sqref>
        </x14:conditionalFormatting>
        <x14:conditionalFormatting xmlns:xm="http://schemas.microsoft.com/office/excel/2006/main">
          <x14:cfRule type="expression" priority="2" id="{00E60009-006F-45BF-8CE6-008C00EE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J200</xm:sqref>
        </x14:conditionalFormatting>
        <x14:conditionalFormatting xmlns:xm="http://schemas.microsoft.com/office/excel/2006/main">
          <x14:cfRule type="expression" priority="2" id="{00B4007D-0077-4407-9337-002D0045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J200</xm:sqref>
        </x14:conditionalFormatting>
        <x14:conditionalFormatting xmlns:xm="http://schemas.microsoft.com/office/excel/2006/main">
          <x14:cfRule type="expression" priority="2" id="{007E0026-00F2-4481-961B-004D003E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J200</xm:sqref>
        </x14:conditionalFormatting>
        <x14:conditionalFormatting xmlns:xm="http://schemas.microsoft.com/office/excel/2006/main">
          <x14:cfRule type="expression" priority="2" id="{000300F3-0029-4059-92DD-00A3005F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J206</xm:sqref>
        </x14:conditionalFormatting>
        <x14:conditionalFormatting xmlns:xm="http://schemas.microsoft.com/office/excel/2006/main">
          <x14:cfRule type="expression" priority="2" id="{00F700BD-00D3-47EF-A92C-00C90080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J206</xm:sqref>
        </x14:conditionalFormatting>
        <x14:conditionalFormatting xmlns:xm="http://schemas.microsoft.com/office/excel/2006/main">
          <x14:cfRule type="expression" priority="2" id="{000000D4-00D1-4061-9027-005400EA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J206</xm:sqref>
        </x14:conditionalFormatting>
        <x14:conditionalFormatting xmlns:xm="http://schemas.microsoft.com/office/excel/2006/main">
          <x14:cfRule type="expression" priority="2" id="{0074000F-00A8-4813-AC93-00810021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J206</xm:sqref>
        </x14:conditionalFormatting>
        <x14:conditionalFormatting xmlns:xm="http://schemas.microsoft.com/office/excel/2006/main">
          <x14:cfRule type="expression" priority="2" id="{00F30063-0001-47DC-9F29-000D00B2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J220</xm:sqref>
        </x14:conditionalFormatting>
        <x14:conditionalFormatting xmlns:xm="http://schemas.microsoft.com/office/excel/2006/main">
          <x14:cfRule type="expression" priority="2" id="{00180067-0088-4400-9B1C-00CA002D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J220</xm:sqref>
        </x14:conditionalFormatting>
        <x14:conditionalFormatting xmlns:xm="http://schemas.microsoft.com/office/excel/2006/main">
          <x14:cfRule type="expression" priority="2" id="{009D00D4-000B-438D-B082-003700BB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J220</xm:sqref>
        </x14:conditionalFormatting>
        <x14:conditionalFormatting xmlns:xm="http://schemas.microsoft.com/office/excel/2006/main">
          <x14:cfRule type="expression" priority="2" id="{000500B3-003E-45FE-B2C5-002E0056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J220</xm:sqref>
        </x14:conditionalFormatting>
        <x14:conditionalFormatting xmlns:xm="http://schemas.microsoft.com/office/excel/2006/main">
          <x14:cfRule type="expression" priority="2" id="{004300C0-00C8-48C2-8FAD-006500C1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J227</xm:sqref>
        </x14:conditionalFormatting>
        <x14:conditionalFormatting xmlns:xm="http://schemas.microsoft.com/office/excel/2006/main">
          <x14:cfRule type="expression" priority="2" id="{0085000D-001B-4112-BE37-00B3008A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J227</xm:sqref>
        </x14:conditionalFormatting>
        <x14:conditionalFormatting xmlns:xm="http://schemas.microsoft.com/office/excel/2006/main">
          <x14:cfRule type="expression" priority="2" id="{007D0000-002D-4250-86BC-00590045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J227</xm:sqref>
        </x14:conditionalFormatting>
        <x14:conditionalFormatting xmlns:xm="http://schemas.microsoft.com/office/excel/2006/main">
          <x14:cfRule type="expression" priority="2" id="{005D0086-0070-446D-B309-00BC002F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J227</xm:sqref>
        </x14:conditionalFormatting>
        <x14:conditionalFormatting xmlns:xm="http://schemas.microsoft.com/office/excel/2006/main">
          <x14:cfRule type="expression" priority="2" id="{00A90036-00EA-4FB4-80F3-002A00E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</xm:sqref>
        </x14:conditionalFormatting>
        <x14:conditionalFormatting xmlns:xm="http://schemas.microsoft.com/office/excel/2006/main">
          <x14:cfRule type="expression" priority="2" id="{00DB000C-00AC-4B04-87C2-009F00E9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</xm:sqref>
        </x14:conditionalFormatting>
        <x14:conditionalFormatting xmlns:xm="http://schemas.microsoft.com/office/excel/2006/main">
          <x14:cfRule type="expression" priority="2" id="{001600BF-003F-4492-851E-003E0065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J12</xm:sqref>
        </x14:conditionalFormatting>
        <x14:conditionalFormatting xmlns:xm="http://schemas.microsoft.com/office/excel/2006/main">
          <x14:cfRule type="expression" priority="2" id="{001C0038-001E-49EB-8504-0097007B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J12</xm:sqref>
        </x14:conditionalFormatting>
        <x14:conditionalFormatting xmlns:xm="http://schemas.microsoft.com/office/excel/2006/main">
          <x14:cfRule type="expression" priority="2" id="{00C10067-0045-434C-BA4B-000F00620009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98" id="{00A4000E-0054-4FB2-9BA6-00480006002F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2" id="{00FA0061-00A5-438C-91F8-00E6004D00B9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98" id="{00200028-000D-4817-828A-00D500F90020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2" id="{00AC007D-0045-417D-BAA9-00DE0038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J25</xm:sqref>
        </x14:conditionalFormatting>
        <x14:conditionalFormatting xmlns:xm="http://schemas.microsoft.com/office/excel/2006/main">
          <x14:cfRule type="expression" priority="2" id="{00D200A1-00EE-4919-93A4-00E000C5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J28</xm:sqref>
        </x14:conditionalFormatting>
        <x14:conditionalFormatting xmlns:xm="http://schemas.microsoft.com/office/excel/2006/main">
          <x14:cfRule type="expression" priority="2" id="{004D00C1-007F-492C-A9A3-001E008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J29</xm:sqref>
        </x14:conditionalFormatting>
        <x14:conditionalFormatting xmlns:xm="http://schemas.microsoft.com/office/excel/2006/main">
          <x14:cfRule type="expression" priority="2" id="{001400B0-0081-40A4-8897-00590096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</xm:sqref>
        </x14:conditionalFormatting>
        <x14:conditionalFormatting xmlns:xm="http://schemas.microsoft.com/office/excel/2006/main">
          <x14:cfRule type="expression" priority="2" id="{001E00E3-004E-47D3-8EF2-00D0008E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</xm:sqref>
        </x14:conditionalFormatting>
        <x14:conditionalFormatting xmlns:xm="http://schemas.microsoft.com/office/excel/2006/main">
          <x14:cfRule type="expression" priority="2" id="{00ED00FF-00BD-48B2-BADE-001B00C3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J23</xm:sqref>
        </x14:conditionalFormatting>
        <x14:conditionalFormatting xmlns:xm="http://schemas.microsoft.com/office/excel/2006/main">
          <x14:cfRule type="expression" priority="2" id="{001500BE-0076-459D-A215-00B5001D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J30</xm:sqref>
        </x14:conditionalFormatting>
        <x14:conditionalFormatting xmlns:xm="http://schemas.microsoft.com/office/excel/2006/main">
          <x14:cfRule type="expression" priority="2" id="{005200C5-0055-4D98-80F5-00A50017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J31</xm:sqref>
        </x14:conditionalFormatting>
        <x14:conditionalFormatting xmlns:xm="http://schemas.microsoft.com/office/excel/2006/main">
          <x14:cfRule type="expression" priority="2" id="{00F700D4-006C-4AE3-8C3A-00890095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J32</xm:sqref>
        </x14:conditionalFormatting>
        <x14:conditionalFormatting xmlns:xm="http://schemas.microsoft.com/office/excel/2006/main">
          <x14:cfRule type="expression" priority="2" id="{00F100CF-0023-43AC-98FC-002400EF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J33</xm:sqref>
        </x14:conditionalFormatting>
        <x14:conditionalFormatting xmlns:xm="http://schemas.microsoft.com/office/excel/2006/main">
          <x14:cfRule type="expression" priority="2" id="{000800F3-0020-41FB-BF5D-00620084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</xm:sqref>
        </x14:conditionalFormatting>
        <x14:conditionalFormatting xmlns:xm="http://schemas.microsoft.com/office/excel/2006/main">
          <x14:cfRule type="expression" priority="2" id="{00D00021-007E-47ED-88D4-00B90098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</xm:sqref>
        </x14:conditionalFormatting>
        <x14:conditionalFormatting xmlns:xm="http://schemas.microsoft.com/office/excel/2006/main">
          <x14:cfRule type="expression" priority="2" id="{004700EE-005A-4817-979D-008600AA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J5</xm:sqref>
        </x14:conditionalFormatting>
        <x14:conditionalFormatting xmlns:xm="http://schemas.microsoft.com/office/excel/2006/main">
          <x14:cfRule type="expression" priority="2" id="{007600E7-00F8-4F35-90BF-0029001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J5</xm:sqref>
        </x14:conditionalFormatting>
        <x14:conditionalFormatting xmlns:xm="http://schemas.microsoft.com/office/excel/2006/main">
          <x14:cfRule type="expression" priority="2" id="{00A00080-0048-4C69-998B-00540049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</xm:sqref>
        </x14:conditionalFormatting>
        <x14:conditionalFormatting xmlns:xm="http://schemas.microsoft.com/office/excel/2006/main">
          <x14:cfRule type="expression" priority="2" id="{00CA009E-0091-45B7-AA73-00700039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</xm:sqref>
        </x14:conditionalFormatting>
        <x14:conditionalFormatting xmlns:xm="http://schemas.microsoft.com/office/excel/2006/main">
          <x14:cfRule type="expression" priority="1" id="{00C9009A-00AF-4C7F-ACFD-00C10025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D240</xm:sqref>
        </x14:conditionalFormatting>
        <x14:conditionalFormatting xmlns:xm="http://schemas.microsoft.com/office/excel/2006/main">
          <x14:cfRule type="expression" priority="1" id="{0038006D-00A7-4CBB-9AA2-00C000C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D241:D244</xm:sqref>
        </x14:conditionalFormatting>
        <x14:conditionalFormatting xmlns:xm="http://schemas.microsoft.com/office/excel/2006/main">
          <x14:cfRule type="expression" priority="2" id="{00EA00FB-0030-4B0A-A427-00B000C2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K16:L16 N16</xm:sqref>
        </x14:conditionalFormatting>
        <x14:conditionalFormatting xmlns:xm="http://schemas.microsoft.com/office/excel/2006/main">
          <x14:cfRule type="expression" priority="2" id="{003800EB-0057-45FC-921D-00B8006B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L16</xm:sqref>
        </x14:conditionalFormatting>
        <x14:conditionalFormatting xmlns:xm="http://schemas.microsoft.com/office/excel/2006/main">
          <x14:cfRule type="expression" priority="2" id="{001D00C5-0025-415C-9AD5-008B00A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J16</xm:sqref>
        </x14:conditionalFormatting>
        <x14:conditionalFormatting xmlns:xm="http://schemas.microsoft.com/office/excel/2006/main">
          <x14:cfRule type="expression" priority="2" id="{001D00DC-0082-4F2C-A26C-00140085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A16:C16</xm:sqref>
        </x14:conditionalFormatting>
        <x14:conditionalFormatting xmlns:xm="http://schemas.microsoft.com/office/excel/2006/main">
          <x14:cfRule type="expression" priority="2" id="{00270038-0073-45BD-8FFC-0078008D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A176:C176</xm:sqref>
        </x14:conditionalFormatting>
        <x14:conditionalFormatting xmlns:xm="http://schemas.microsoft.com/office/excel/2006/main">
          <x14:cfRule type="expression" priority="2" id="{00C40013-0032-4D48-82A8-004700F1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K176:L176 N176</xm:sqref>
        </x14:conditionalFormatting>
        <x14:conditionalFormatting xmlns:xm="http://schemas.microsoft.com/office/excel/2006/main">
          <x14:cfRule type="expression" priority="2" id="{00AC0058-0084-44C4-ACB6-00BF009E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L176</xm:sqref>
        </x14:conditionalFormatting>
        <x14:conditionalFormatting xmlns:xm="http://schemas.microsoft.com/office/excel/2006/main">
          <x14:cfRule type="expression" priority="2" id="{00330053-002D-44EF-826B-0050006D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J176</xm:sqref>
        </x14:conditionalFormatting>
        <x14:conditionalFormatting xmlns:xm="http://schemas.microsoft.com/office/excel/2006/main">
          <x14:cfRule type="expression" priority="2" id="{001C009E-00B9-433E-A26E-008100CB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K204:L204 N204</xm:sqref>
        </x14:conditionalFormatting>
        <x14:conditionalFormatting xmlns:xm="http://schemas.microsoft.com/office/excel/2006/main">
          <x14:cfRule type="expression" priority="2" id="{00F700B6-000A-4A18-A9A5-00F700E6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L204</xm:sqref>
        </x14:conditionalFormatting>
        <x14:conditionalFormatting xmlns:xm="http://schemas.microsoft.com/office/excel/2006/main">
          <x14:cfRule type="expression" priority="2" id="{00040019-008B-46FA-8396-0032007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J204</xm:sqref>
        </x14:conditionalFormatting>
        <x14:conditionalFormatting xmlns:xm="http://schemas.microsoft.com/office/excel/2006/main">
          <x14:cfRule type="expression" priority="2" id="{0050001A-008D-4896-88A6-003A0069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K205:L205 N205</xm:sqref>
        </x14:conditionalFormatting>
        <x14:conditionalFormatting xmlns:xm="http://schemas.microsoft.com/office/excel/2006/main">
          <x14:cfRule type="expression" priority="2" id="{00FF00B4-0066-4154-9149-00C8009B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L205</xm:sqref>
        </x14:conditionalFormatting>
        <x14:conditionalFormatting xmlns:xm="http://schemas.microsoft.com/office/excel/2006/main">
          <x14:cfRule type="expression" priority="2" id="{005D005C-00A8-49B5-AE3D-00F100AB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L205</xm:sqref>
        </x14:conditionalFormatting>
        <x14:conditionalFormatting xmlns:xm="http://schemas.microsoft.com/office/excel/2006/main">
          <x14:cfRule type="expression" priority="2" id="{0012001C-00E3-4D1A-8DFF-00CA008F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L205</xm:sqref>
        </x14:conditionalFormatting>
        <x14:conditionalFormatting xmlns:xm="http://schemas.microsoft.com/office/excel/2006/main">
          <x14:cfRule type="expression" priority="2" id="{003D0033-0013-42E4-8A25-00F90056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AE0001-0088-4E62-AB33-00D400FB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B90046-0070-489B-A835-001300F3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3F002B-00EE-45F3-A0F8-00D10010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K205</xm:sqref>
        </x14:conditionalFormatting>
        <x14:conditionalFormatting xmlns:xm="http://schemas.microsoft.com/office/excel/2006/main">
          <x14:cfRule type="expression" priority="2" id="{00E50065-0056-4737-87CB-00220024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F60062-00E9-44C2-A7BF-00E7003A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E40030-0024-4DE5-A727-00DE0075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340067-0028-4FEF-95DA-00FD0001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310068-00C2-4DDF-9C6A-005C0089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1500B4-0046-4739-BE49-00E40050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A204:C204</xm:sqref>
        </x14:conditionalFormatting>
        <x14:conditionalFormatting xmlns:xm="http://schemas.microsoft.com/office/excel/2006/main">
          <x14:cfRule type="expression" priority="2" id="{00EC0086-00BC-4BB7-BACC-008C0093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K217:L217 N217</xm:sqref>
        </x14:conditionalFormatting>
        <x14:conditionalFormatting xmlns:xm="http://schemas.microsoft.com/office/excel/2006/main">
          <x14:cfRule type="expression" priority="2" id="{00F800E1-007A-42AC-B809-00130083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L217</xm:sqref>
        </x14:conditionalFormatting>
        <x14:conditionalFormatting xmlns:xm="http://schemas.microsoft.com/office/excel/2006/main">
          <x14:cfRule type="expression" priority="2" id="{00FB0014-00E4-44FF-82BA-007C003D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J217</xm:sqref>
        </x14:conditionalFormatting>
        <x14:conditionalFormatting xmlns:xm="http://schemas.microsoft.com/office/excel/2006/main">
          <x14:cfRule type="expression" priority="2" id="{00FB0082-006E-483F-922B-00BA00F9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A217:C217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33</cp:revision>
  <dcterms:created xsi:type="dcterms:W3CDTF">2022-09-26T16:02:08Z</dcterms:created>
  <dcterms:modified xsi:type="dcterms:W3CDTF">2026-01-16T20:03:35Z</dcterms:modified>
  <cp:category/>
  <cp:contentStatus/>
</cp:coreProperties>
</file>