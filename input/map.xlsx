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persons/person.xml" ContentType="application/vnd.ms-excel.person+xml"/>
  <Override PartName="/xl/worksheets/sheet1.xml" ContentType="application/vnd.openxmlformats-officedocument.spreadsheetml.worksheet+xml"/>
  <Override PartName="/xl/threadedComments/threadedComment1.xml" ContentType="application/vnd.ms-excel.threadedcomment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3"/>
  </sheets>
  <definedNames>
    <definedName name="_xlnm._FilterDatabase" localSheetId="0" hidden="1">Sheet1!$A$1:$P$243</definedName>
    <definedName name="Print_Titles" localSheetId="0">Sheet1!$1:$1</definedName>
    <definedName name="_xlcn.WorksheetConnection_budget_2024.xlsxTable2" hidden="1">'budget 11-01-23'!$A$1:$M$198</definedName>
    <definedName name="_xlcn.WorksheetConnection_budget_2024.xlsxTable3" hidden="1">Table1</definedName>
    <definedName name="_xlnm._FilterDatabase" localSheetId="0" hidden="1">Sheet1!$A$1:$P$243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tc={7252F538-6D6E-97D8-146C-E9E4379178FC}</author>
  </authors>
  <commentList>
    <comment ref="D18" authorId="0" xr:uid="{7252F538-6D6E-97D8-146C-E9E4379178FC}">
      <text>
        <r>
          <rPr>
            <b/>
            <sz val="9"/>
            <rFont val="Tahoma"/>
          </rPr>
          <t xml:space="preserve">David Hjelmar:</t>
        </r>
        <r>
          <rPr>
            <sz val="9"/>
            <rFont val="Tahoma"/>
          </rPr>
          <t xml:space="preserve">
only used from Covenant Fund in 2022. not used at all in 2023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"/>
        </x15:connection>
      </ext>
    </extLst>
  </connection>
</connections>
</file>

<file path=xl/sharedStrings.xml><?xml version="1.0" encoding="utf-8"?>
<sst xmlns="http://schemas.openxmlformats.org/spreadsheetml/2006/main" count="346" uniqueCount="346">
  <si>
    <t>InOrOut</t>
  </si>
  <si>
    <t>L1</t>
  </si>
  <si>
    <t>L2</t>
  </si>
  <si>
    <t>Account</t>
  </si>
  <si>
    <t>SourceOfFunds</t>
  </si>
  <si>
    <t>Purpose</t>
  </si>
  <si>
    <t>Committee_Detail</t>
  </si>
  <si>
    <t xml:space="preserve">Split Funding</t>
  </si>
  <si>
    <t xml:space="preserve">Split Funding Detail</t>
  </si>
  <si>
    <t>Dave</t>
  </si>
  <si>
    <t>GreenSheet</t>
  </si>
  <si>
    <t>GreenSheetDetails</t>
  </si>
  <si>
    <t>D1</t>
  </si>
  <si>
    <t>D2</t>
  </si>
  <si>
    <t>AnnualReport</t>
  </si>
  <si>
    <t>In</t>
  </si>
  <si>
    <t xml:space="preserve">4010 Current Year Pledges</t>
  </si>
  <si>
    <t>Unrestricted</t>
  </si>
  <si>
    <t>Operations</t>
  </si>
  <si>
    <t xml:space="preserve">Contributions - pledge</t>
  </si>
  <si>
    <t xml:space="preserve">01 Contributions - pledges</t>
  </si>
  <si>
    <t xml:space="preserve">02 Contributions</t>
  </si>
  <si>
    <t>.</t>
  </si>
  <si>
    <t>Contributions</t>
  </si>
  <si>
    <t>Pledges</t>
  </si>
  <si>
    <t xml:space="preserve">4021 Charitable Distributions</t>
  </si>
  <si>
    <t xml:space="preserve">4000 Classis Assessment</t>
  </si>
  <si>
    <t xml:space="preserve">Designated Funds</t>
  </si>
  <si>
    <t xml:space="preserve">02 Contributions - other</t>
  </si>
  <si>
    <t xml:space="preserve">01 Classis Assessments</t>
  </si>
  <si>
    <t>Other</t>
  </si>
  <si>
    <t xml:space="preserve">4001 Classis Assessments</t>
  </si>
  <si>
    <t xml:space="preserve">4011 Prepaid Donations</t>
  </si>
  <si>
    <t xml:space="preserve">4012 Non Pledge Contributions</t>
  </si>
  <si>
    <t xml:space="preserve">4013 Vespers Offering</t>
  </si>
  <si>
    <t xml:space="preserve">4014 Easter Offering</t>
  </si>
  <si>
    <t>Mission</t>
  </si>
  <si>
    <t xml:space="preserve">4015 Christmas Offering</t>
  </si>
  <si>
    <t xml:space="preserve">4016 Thanksgiving Offering</t>
  </si>
  <si>
    <t xml:space="preserve">4017 Special Offerings</t>
  </si>
  <si>
    <t xml:space="preserve">4018 Little Free Pantry donation</t>
  </si>
  <si>
    <t xml:space="preserve">4022 Wednesday Lunch</t>
  </si>
  <si>
    <t xml:space="preserve">4023 Online Giving</t>
  </si>
  <si>
    <t xml:space="preserve">4024 Senior High Mission Trip income</t>
  </si>
  <si>
    <t xml:space="preserve">4025 Concert Series</t>
  </si>
  <si>
    <t xml:space="preserve">4026 Bequests or Audio/Visual Technology?</t>
  </si>
  <si>
    <t xml:space="preserve">4031 Special Offerings (designated)</t>
  </si>
  <si>
    <t xml:space="preserve">4032 Designated Restricted Contributions</t>
  </si>
  <si>
    <t>Designated</t>
  </si>
  <si>
    <t xml:space="preserve">4027 Checking Account</t>
  </si>
  <si>
    <t>Checking</t>
  </si>
  <si>
    <t xml:space="preserve">03 Endowments</t>
  </si>
  <si>
    <t xml:space="preserve">03 Investment Income</t>
  </si>
  <si>
    <t>Investments</t>
  </si>
  <si>
    <t>Investment</t>
  </si>
  <si>
    <t xml:space="preserve">4041 Endowment Income</t>
  </si>
  <si>
    <t>Endowment</t>
  </si>
  <si>
    <t xml:space="preserve">4043 Schermerhorn Income</t>
  </si>
  <si>
    <t xml:space="preserve">Schermerhorn and Birch Funds</t>
  </si>
  <si>
    <t>Schermerhorn</t>
  </si>
  <si>
    <t xml:space="preserve">4044 Birch Income</t>
  </si>
  <si>
    <t>Birch</t>
  </si>
  <si>
    <t xml:space="preserve">4049 Tercentenary Income</t>
  </si>
  <si>
    <t xml:space="preserve">Tercentenary Fund</t>
  </si>
  <si>
    <t xml:space="preserve">Education, Music, &amp; Arts</t>
  </si>
  <si>
    <t xml:space="preserve">03 Tercentenary Fund</t>
  </si>
  <si>
    <t>Tercentenary</t>
  </si>
  <si>
    <t xml:space="preserve">4045 UP Mission Fund Income</t>
  </si>
  <si>
    <t xml:space="preserve">UP Mission Fund</t>
  </si>
  <si>
    <t xml:space="preserve">03 UP Mission Fund</t>
  </si>
  <si>
    <t xml:space="preserve">UP Mission</t>
  </si>
  <si>
    <t xml:space="preserve">4046 UP Mission Fund Income</t>
  </si>
  <si>
    <t xml:space="preserve">4061 McDonald (Covenant)</t>
  </si>
  <si>
    <t xml:space="preserve">Covenant Fund but Unrestricted Use</t>
  </si>
  <si>
    <t xml:space="preserve">Covenant Fund</t>
  </si>
  <si>
    <t xml:space="preserve">04 Covenant Fund</t>
  </si>
  <si>
    <t xml:space="preserve">04 Covenant Income</t>
  </si>
  <si>
    <t>Covenant</t>
  </si>
  <si>
    <t xml:space="preserve">4062 Covenant Fund Income</t>
  </si>
  <si>
    <t xml:space="preserve">4063 Covenant Income for M&amp;B</t>
  </si>
  <si>
    <t xml:space="preserve">4052 Facility Use Income</t>
  </si>
  <si>
    <t xml:space="preserve">Other income</t>
  </si>
  <si>
    <t xml:space="preserve">05 Other Income</t>
  </si>
  <si>
    <t xml:space="preserve">4053 Misc Income</t>
  </si>
  <si>
    <t xml:space="preserve">4054 Rental Income</t>
  </si>
  <si>
    <t xml:space="preserve">4055 Holiday/Memorial Flowers income</t>
  </si>
  <si>
    <t xml:space="preserve">4056 Chancel Guild Income/Cook Trust</t>
  </si>
  <si>
    <t xml:space="preserve">Cook Trust</t>
  </si>
  <si>
    <t xml:space="preserve">4057 Scholarship from Education Fund income</t>
  </si>
  <si>
    <t xml:space="preserve">4058 Lucas Grove compensation</t>
  </si>
  <si>
    <t xml:space="preserve">4051 Designated Funds</t>
  </si>
  <si>
    <t>Out</t>
  </si>
  <si>
    <t xml:space="preserve">5011 Continuing Ed Sr. Pastor</t>
  </si>
  <si>
    <t xml:space="preserve">Personnel - Education</t>
  </si>
  <si>
    <t xml:space="preserve">07 Worship &amp; Arts</t>
  </si>
  <si>
    <t>Programs</t>
  </si>
  <si>
    <t>Worship</t>
  </si>
  <si>
    <t>Personnel</t>
  </si>
  <si>
    <t xml:space="preserve">5044 Continuing Education Music</t>
  </si>
  <si>
    <t xml:space="preserve">6004 Audio Visual Contract Services</t>
  </si>
  <si>
    <t xml:space="preserve">Worship &amp; Arts</t>
  </si>
  <si>
    <t xml:space="preserve">6005 Communion</t>
  </si>
  <si>
    <t xml:space="preserve">6015 Honorarim (Pulpit Organ)</t>
  </si>
  <si>
    <t xml:space="preserve">6016 Organ Repair</t>
  </si>
  <si>
    <t xml:space="preserve">Worship - Music &amp; Art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</si>
  <si>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</si>
  <si>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</si>
  <si>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</si>
  <si>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</si>
  <si>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</si>
  <si>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</si>
  <si>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</si>
  <si>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</si>
  <si>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</si>
  <si>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</si>
  <si>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</si>
  <si>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</si>
  <si>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Education, Music, &amp; Arts - split funded</t>
  </si>
  <si>
    <t xml:space="preserve">6076 Holiday/Memorial Flowers expenses</t>
  </si>
  <si>
    <t xml:space="preserve">6077 Audio sound expenses</t>
  </si>
  <si>
    <t xml:space="preserve">6078 Audio Sound /Video Streaming expenses</t>
  </si>
  <si>
    <t xml:space="preserve">6079 Folk Band or Miscast Cabaret?</t>
  </si>
  <si>
    <t xml:space="preserve">6080 Art Series</t>
  </si>
  <si>
    <t xml:space="preserve">6081 Art Display Expense</t>
  </si>
  <si>
    <t xml:space="preserve">6082 Candle,Oil,Wreth Exp.</t>
  </si>
  <si>
    <t xml:space="preserve">6083 Vesting for Sanctuary</t>
  </si>
  <si>
    <t xml:space="preserve">6084 Chancel Guild expenses/Cook Trust</t>
  </si>
  <si>
    <t xml:space="preserve">6105 Safe Gathering Check Up exp. or Audio/Visual Church School?</t>
  </si>
  <si>
    <t xml:space="preserve">Youth Ed</t>
  </si>
  <si>
    <t xml:space="preserve">08 Youth Ed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</si>
  <si>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</si>
  <si>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</si>
  <si>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</si>
  <si>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</si>
  <si>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6121 Camp Fowler scholarships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</si>
  <si>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</si>
  <si>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</si>
  <si>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</si>
  <si>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</si>
  <si>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Split Funding (Covenant Fund beyond designated contributions)</t>
  </si>
  <si>
    <t xml:space="preserve">Mission - split funded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</si>
  <si>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</si>
  <si>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</si>
  <si>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</si>
  <si>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</si>
  <si>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</si>
  <si>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6303 Undesignated and Emergency</t>
  </si>
  <si>
    <t>M&amp;B</t>
  </si>
  <si>
    <t xml:space="preserve">Mission - Covenant Fund</t>
  </si>
  <si>
    <t xml:space="preserve">09 M&amp;B</t>
  </si>
  <si>
    <t xml:space="preserve">6305 Education (M&amp;B)</t>
  </si>
  <si>
    <t xml:space="preserve">6306 Little Pantry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</si>
  <si>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</si>
  <si>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</si>
  <si>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</si>
  <si>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</si>
  <si>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</si>
  <si>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</si>
  <si>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</si>
  <si>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Mission - Contributions</t>
  </si>
  <si>
    <t xml:space="preserve">6326 UP Mission</t>
  </si>
  <si>
    <t xml:space="preserve">Mission - UP Mission Fund</t>
  </si>
  <si>
    <t xml:space="preserve">6340 Special Offering</t>
  </si>
  <si>
    <t xml:space="preserve">6350 Other Covenant Programs</t>
  </si>
  <si>
    <t xml:space="preserve">10 Covenant Fund</t>
  </si>
  <si>
    <t xml:space="preserve">6351 Approved Covenant Programs</t>
  </si>
  <si>
    <t xml:space="preserve">6356 Lunn Office</t>
  </si>
  <si>
    <t xml:space="preserve">6360 Small Grants</t>
  </si>
  <si>
    <t xml:space="preserve">6366 Wednesday Lunch</t>
  </si>
  <si>
    <t xml:space="preserve">6367 Mission &amp; Volunteer Expense</t>
  </si>
  <si>
    <t xml:space="preserve">6368 Kitchen supplies</t>
  </si>
  <si>
    <t xml:space="preserve">6369 To Go Containers</t>
  </si>
  <si>
    <t xml:space="preserve">6404 Period./Books/Newsp.for ass. pastor</t>
  </si>
  <si>
    <t xml:space="preserve">Adult Ed</t>
  </si>
  <si>
    <t xml:space="preserve">11 Adult Ed</t>
  </si>
  <si>
    <t xml:space="preserve">6405 Library Books</t>
  </si>
  <si>
    <t xml:space="preserve">6409 Scholarship from Education Fund expence </t>
  </si>
  <si>
    <t xml:space="preserve">6410 Devotional Literature/Small groups Literature</t>
  </si>
  <si>
    <t xml:space="preserve">6415 Faith Forming Weekend</t>
  </si>
  <si>
    <t xml:space="preserve">6420 Guest Spearkers and Adult Forum</t>
  </si>
  <si>
    <t xml:space="preserve">6430 Lenten Programming</t>
  </si>
  <si>
    <t xml:space="preserve">6435 Library Periodicals &amp; Fees</t>
  </si>
  <si>
    <t xml:space="preserve">6440 Resources (Adult Ed.)</t>
  </si>
  <si>
    <t xml:space="preserve">6445 Adult Retreats and Workshops</t>
  </si>
  <si>
    <t xml:space="preserve">6450 Small Groups</t>
  </si>
  <si>
    <t xml:space="preserve">6460 Library Supplies &amp; Equipment</t>
  </si>
  <si>
    <t xml:space="preserve">6505 Honorariums</t>
  </si>
  <si>
    <t xml:space="preserve">Care &amp; Support</t>
  </si>
  <si>
    <t xml:space="preserve">12 Care &amp; Support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</si>
  <si>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</si>
  <si>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</si>
  <si>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</si>
  <si>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</si>
  <si>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6605 Churchwide Social Events</t>
  </si>
  <si>
    <t>Membership</t>
  </si>
  <si>
    <t xml:space="preserve">13 Membership</t>
  </si>
  <si>
    <t xml:space="preserve">6610 Coffee Hour</t>
  </si>
  <si>
    <t xml:space="preserve">6620 Supplies Hospitality</t>
  </si>
  <si>
    <t xml:space="preserve">6705 Membership Committee</t>
  </si>
  <si>
    <t xml:space="preserve">6706 Art Night (account not used; possibly never used?)</t>
  </si>
  <si>
    <t xml:space="preserve">6707 temp number for Classis meeting expense</t>
  </si>
  <si>
    <t xml:space="preserve">6806 Composting</t>
  </si>
  <si>
    <t xml:space="preserve">Creation Care</t>
  </si>
  <si>
    <t xml:space="preserve">14 Creation Care</t>
  </si>
  <si>
    <t xml:space="preserve">6807 Supplies</t>
  </si>
  <si>
    <t xml:space="preserve">6808 Recycled Paper</t>
  </si>
  <si>
    <t xml:space="preserve">6809 Media</t>
  </si>
  <si>
    <t xml:space="preserve">7001 Custodian Fee/Other serv. Fee</t>
  </si>
  <si>
    <t>Property</t>
  </si>
  <si>
    <t xml:space="preserve">15 Property</t>
  </si>
  <si>
    <t>Infrustructure</t>
  </si>
  <si>
    <t xml:space="preserve">7002 Fasility use expense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</si>
  <si>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</si>
  <si>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</si>
  <si>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</si>
  <si>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</si>
  <si>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</si>
  <si>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</si>
  <si>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</si>
  <si>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</si>
  <si>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</si>
  <si>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</si>
  <si>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</si>
  <si>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</si>
  <si>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</si>
  <si>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</si>
  <si>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</si>
  <si>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</si>
  <si>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</si>
  <si>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</si>
  <si>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</si>
  <si>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</si>
  <si>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</si>
  <si>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</si>
  <si>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</si>
  <si>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</si>
  <si>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</si>
  <si>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</si>
  <si>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Unrestricted (and Designated, e.g., Columbarium)</t>
  </si>
  <si>
    <t xml:space="preserve">7122 Vale Cemetery upkeep</t>
  </si>
  <si>
    <t xml:space="preserve">7123 Parking Lot Maintenance</t>
  </si>
  <si>
    <t xml:space="preserve">8004 Banking Expense</t>
  </si>
  <si>
    <t xml:space="preserve">16 Finance</t>
  </si>
  <si>
    <t>Finance</t>
  </si>
  <si>
    <t xml:space="preserve">8005 Audit and Consulting</t>
  </si>
  <si>
    <t xml:space="preserve">8010 Classis Assessments</t>
  </si>
  <si>
    <t xml:space="preserve">8015 Insurance</t>
  </si>
  <si>
    <t xml:space="preserve">8020 990 Preparation Expense 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</si>
  <si>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</si>
  <si>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</si>
  <si>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</si>
  <si>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</si>
  <si>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</si>
  <si>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 xml:space="preserve">8110 Archives &amp; Restoration</t>
  </si>
  <si>
    <t>Archives</t>
  </si>
  <si>
    <t xml:space="preserve">17 Archives</t>
  </si>
  <si>
    <t xml:space="preserve">8111 Four Chaplains(6 people)</t>
  </si>
  <si>
    <t xml:space="preserve">8120 Paper/Printing expense</t>
  </si>
  <si>
    <t xml:space="preserve">8125 Supplies Archives</t>
  </si>
  <si>
    <t xml:space="preserve">9001 Personnel Committee expense</t>
  </si>
  <si>
    <t>Office</t>
  </si>
  <si>
    <t xml:space="preserve">18 Administration</t>
  </si>
  <si>
    <t>Administration</t>
  </si>
  <si>
    <t xml:space="preserve">9005 Computer Maint/Repair/Internet</t>
  </si>
  <si>
    <t xml:space="preserve">9007 Audio Visual Contract Services (replaced by 6004 in Worship)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</si>
  <si>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</si>
  <si>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</si>
  <si>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</si>
  <si>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</si>
  <si>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</si>
  <si>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</si>
  <si>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</si>
  <si>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</si>
  <si>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</si>
  <si>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</si>
  <si>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</si>
  <si>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>9111 Advertising</t>
  </si>
  <si>
    <t>Communications</t>
  </si>
  <si>
    <t xml:space="preserve">19 Communications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</si>
  <si>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</si>
  <si>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</si>
  <si>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</si>
  <si>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</si>
  <si>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</t>
  </si>
  <si>
    <t xml:space="preserve">5002 FICA Administration</t>
  </si>
  <si>
    <t xml:space="preserve">20 Personnel</t>
  </si>
  <si>
    <t xml:space="preserve">5003 Wages Administration</t>
  </si>
  <si>
    <t xml:space="preserve">5004 Retirement Administration</t>
  </si>
  <si>
    <t xml:space="preserve">5005 Medical Administration</t>
  </si>
  <si>
    <t xml:space="preserve">5006 Continuing Education Administration</t>
  </si>
  <si>
    <t xml:space="preserve">5012 FICA Senior Pastor</t>
  </si>
  <si>
    <t xml:space="preserve">Sr. Pastor</t>
  </si>
  <si>
    <t xml:space="preserve">5013 Wages Sr.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</si>
  <si>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</si>
  <si>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</si>
  <si>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</si>
  <si>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</si>
  <si>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</si>
  <si>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5019 Disability &amp; Life Sr. Pastor</t>
  </si>
  <si>
    <t xml:space="preserve">5020 Pastoral Search Expense</t>
  </si>
  <si>
    <t xml:space="preserve">Pastoral Search</t>
  </si>
  <si>
    <t xml:space="preserve">5032 FICA Maintenance (Property)</t>
  </si>
  <si>
    <t>Maintenance</t>
  </si>
  <si>
    <t xml:space="preserve">5033 Wages Maintenance (Property)</t>
  </si>
  <si>
    <t xml:space="preserve">5034 Medical Maintenance (Property)</t>
  </si>
  <si>
    <t xml:space="preserve">5035 Retirement Maintenance (Property)</t>
  </si>
  <si>
    <t xml:space="preserve">5036 Continuing Education (Property)</t>
  </si>
  <si>
    <t xml:space="preserve">5037 Houskeeping staff (new position)</t>
  </si>
  <si>
    <t xml:space="preserve">5042 FICA Music</t>
  </si>
  <si>
    <t>Music</t>
  </si>
  <si>
    <t xml:space="preserve">5043 Wages Music</t>
  </si>
  <si>
    <t xml:space="preserve">5051 Continuing Ed (Assoc Pastor)</t>
  </si>
  <si>
    <t xml:space="preserve">Assoc. Pastor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</si>
  <si>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</si>
  <si>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</si>
  <si>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</si>
  <si>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</si>
  <si>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</si>
  <si>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</si>
  <si>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</si>
  <si>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 xml:space="preserve">5072 FICA Youth</t>
  </si>
  <si>
    <t xml:space="preserve">5073 Wages Youth</t>
  </si>
  <si>
    <t xml:space="preserve">5074 Health Insurance Youth</t>
  </si>
  <si>
    <t xml:space="preserve">5075 Retirement Youth</t>
  </si>
  <si>
    <t xml:space="preserve">5080 Continuing Education Youth</t>
  </si>
  <si>
    <t xml:space="preserve">6373 Wages Lunch Coordinator</t>
  </si>
  <si>
    <t xml:space="preserve">Wednesday lunch coordinator</t>
  </si>
  <si>
    <t xml:space="preserve">6374 FICA Lunch Coordinator</t>
  </si>
  <si>
    <t xml:space="preserve">6375 Continuing Education Lunch Coordinator</t>
  </si>
  <si>
    <t xml:space="preserve">9002 Business ans auto expense</t>
  </si>
  <si>
    <t xml:space="preserve">9050 Staff Development Administration</t>
  </si>
  <si>
    <t xml:space="preserve">9121 Wages Communication Specialist</t>
  </si>
  <si>
    <t xml:space="preserve">Communication Specialist</t>
  </si>
  <si>
    <t xml:space="preserve">9122 FICA Communication Specialist</t>
  </si>
  <si>
    <t xml:space="preserve">9123 Retirement Communication Speicalist</t>
  </si>
  <si>
    <t xml:space="preserve">9125 Continuing Education Communications Specialist</t>
  </si>
  <si>
    <t xml:space="preserve">4027a Linear Adj: Checking Account</t>
  </si>
  <si>
    <t xml:space="preserve">Investment Income - Linear Adjustments</t>
  </si>
  <si>
    <t xml:space="preserve">Linear Adjustment</t>
  </si>
  <si>
    <t xml:space="preserve">4041a Linear Adj: Endowment Income</t>
  </si>
  <si>
    <t xml:space="preserve">4045a Linear Adj: UP Mission Fund Income</t>
  </si>
  <si>
    <t xml:space="preserve">4046a Linear Adj: UP Mission Fund Income</t>
  </si>
  <si>
    <t xml:space="preserve">4049a Linear Adj: Tercentenary Income</t>
  </si>
  <si>
    <t xml:space="preserve">4061a Linear Adj: McDonald (Covenant)</t>
  </si>
  <si>
    <t xml:space="preserve">4062a Linear Adj: Covenant Fund Income</t>
  </si>
  <si>
    <t xml:space="preserve">4063a Linear Adj: Covenant Income for M&amp;B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</si>
</sst>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0.000000"/>
      <color rgb="FF0070C0"/>
      <name val="Arial"/>
      <scheme val="minor"/>
    </font>
    <font>
      <sz val="10.000000"/>
      <color indexed="2"/>
      <name val="Arial"/>
      <scheme val="minor"/>
    </font>
    <font>
      <sz val="10.000000"/>
      <name val="Arial"/>
      <scheme val="minor"/>
    </font>
    <font>
      <sz val="11.000000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0"/>
        <bgColor theme="0" tint="0"/>
      </patternFill>
    </fill>
    <fill>
      <patternFill patternType="solid">
        <fgColor indexed="5"/>
        <bgColor indexed="5"/>
      </patternFill>
    </fill>
    <fill>
      <patternFill patternType="solid">
        <fgColor indexed="5"/>
      </patternFill>
    </fill>
    <fill>
      <patternFill patternType="solid">
        <fgColor indexed="65"/>
      </patternFill>
    </fill>
    <fill>
      <patternFill patternType="solid">
        <fgColor theme="0"/>
        <bgColor rgb="FFD9D9D9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20">
    <xf fontId="0" fillId="0" borderId="0" numFmtId="0" xfId="0"/>
    <xf fontId="0" fillId="0" borderId="0" numFmtId="0" xfId="0" applyAlignment="1">
      <alignment vertical="top"/>
    </xf>
    <xf fontId="0" fillId="0" borderId="0" numFmtId="0" xfId="0" applyAlignment="1">
      <alignment vertical="center"/>
    </xf>
    <xf fontId="2" fillId="2" borderId="1" numFmtId="49" xfId="0" applyNumberFormat="1" applyFont="1" applyFill="1" applyBorder="1" applyAlignment="1">
      <alignment horizontal="center" vertical="center" wrapText="1"/>
    </xf>
    <xf fontId="0" fillId="0" borderId="0" numFmtId="0" xfId="0"/>
    <xf fontId="3" fillId="3" borderId="0" numFmtId="0" xfId="0" applyFont="1" applyFill="1">
      <protection hidden="0" locked="1"/>
    </xf>
    <xf fontId="4" fillId="4" borderId="0" numFmtId="0" xfId="0" applyFont="1" applyFill="1" applyAlignment="1">
      <alignment vertical="top"/>
    </xf>
    <xf fontId="0" fillId="0" borderId="0" numFmtId="0" xfId="0">
      <protection hidden="0" locked="1"/>
    </xf>
    <xf fontId="5" fillId="0" borderId="0" numFmtId="0" xfId="0" applyFont="1" applyAlignment="1">
      <alignment vertical="top"/>
    </xf>
    <xf fontId="5" fillId="5" borderId="0" numFmtId="0" xfId="0" applyFont="1" applyFill="1" applyAlignment="1">
      <alignment vertical="top"/>
    </xf>
    <xf fontId="4" fillId="0" borderId="0" numFmtId="0" xfId="0" applyFont="1" applyAlignment="1">
      <alignment vertical="top"/>
    </xf>
    <xf fontId="6" fillId="6" borderId="0" numFmtId="0" xfId="0" applyFont="1" applyFill="1" applyAlignment="1">
      <alignment vertical="top"/>
    </xf>
    <xf fontId="0" fillId="0" borderId="2" numFmtId="0" xfId="0" applyBorder="1" applyAlignment="1">
      <alignment vertical="top"/>
    </xf>
    <xf fontId="0" fillId="4" borderId="0" numFmtId="0" xfId="0" applyFill="1" applyAlignment="1">
      <alignment vertical="top"/>
    </xf>
    <xf fontId="6" fillId="7" borderId="0" numFmtId="0" xfId="0" applyFont="1" applyFill="1" applyAlignment="1">
      <alignment vertical="top"/>
    </xf>
    <xf fontId="0" fillId="0" borderId="2" numFmtId="0" xfId="0" applyBorder="1"/>
    <xf fontId="0" fillId="0" borderId="0" numFmtId="0" xfId="0" applyAlignment="1">
      <alignment horizontal="left" vertical="top"/>
    </xf>
    <xf fontId="4" fillId="0" borderId="2" numFmtId="0" xfId="0" applyFont="1" applyBorder="1" applyAlignment="1">
      <alignment vertical="top"/>
    </xf>
    <xf fontId="4" fillId="5" borderId="0" numFmtId="0" xfId="0" applyFont="1" applyFill="1" applyAlignment="1">
      <alignment vertical="top"/>
    </xf>
    <xf fontId="4" fillId="0" borderId="3" numFmtId="0" xfId="0" applyFont="1" applyBorder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2" Type="http://schemas.microsoft.com/office/2017/10/relationships/person" Target="persons/person.xml"/><Relationship  Id="rId3" Type="http://schemas.openxmlformats.org/officeDocument/2006/relationships/worksheet" Target="worksheets/sheet1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vid Hjelmar" id="{A48AEDAC-A546-3132-37D7-70D160011C3D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8" personId="{A48AEDAC-A546-3132-37D7-70D160011C3D}" id="{7252F538-6D6E-97D8-146C-E9E4379178FC}" done="0">
    <text xml:space="preserve">only used from Covenant Fund in 2022. not used at all in 2023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Formulas="0" topLeftCell="A1" zoomScale="100" workbookViewId="0">
      <pane ySplit="2" topLeftCell="A3" activePane="bottomLeft" state="frozen"/>
      <selection activeCell="D37" activeCellId="0" sqref="D37"/>
    </sheetView>
  </sheetViews>
  <sheetFormatPr defaultRowHeight="12.75"/>
  <cols>
    <col customWidth="1" min="1" max="1" style="1" width="10.85546875"/>
    <col customWidth="1" min="2" max="2" style="1" width="25.7109375"/>
    <col customWidth="1" min="3" max="3" style="1" width="22.140625"/>
    <col bestFit="1" customWidth="1" min="4" max="4" style="1" width="56.5703125"/>
    <col customWidth="1" hidden="1" min="5" max="5" style="1" width="36.85546875"/>
    <col customWidth="1" hidden="1" min="6" max="6" style="1" width="35.28515625"/>
    <col customWidth="1" hidden="1" min="7" max="9" style="1" width="32.85546875"/>
    <col customWidth="1" min="10" max="10" style="1" width="32.85546875"/>
    <col customWidth="1" min="11" max="11" width="32.85546875"/>
    <col customWidth="1" min="12" max="12" width="12.421875"/>
    <col customWidth="1" min="13" max="14" width="32.85546875"/>
    <col customWidth="1" min="15" max="15" width="20.140625"/>
    <col min="16" max="16384" style="1" width="9.140625"/>
  </cols>
  <sheetData>
    <row r="1" s="2" customFormat="1" ht="21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2">
        <v>0</v>
      </c>
    </row>
    <row r="2">
      <c r="A2" s="1" t="s">
        <v>15</v>
      </c>
      <c r="B2" s="1" t="str">
        <f>K2</f>
        <v xml:space="preserve">02 Contributions</v>
      </c>
      <c r="C2" s="1" t="str">
        <f>L2</f>
        <v>.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 t="s">
        <v>23</v>
      </c>
      <c r="N2" s="1" t="s">
        <v>24</v>
      </c>
      <c r="O2" s="1" t="s">
        <v>23</v>
      </c>
      <c r="P2" s="1">
        <f t="shared" ref="P2:P9" si="0">IF(B2=B1,P1,P1+1)</f>
        <v>1</v>
      </c>
    </row>
    <row r="3">
      <c r="A3" s="1" t="s">
        <v>15</v>
      </c>
      <c r="B3" s="1" t="str">
        <f>K3</f>
        <v xml:space="preserve">02 Contributions</v>
      </c>
      <c r="C3" s="1" t="str">
        <f>L3</f>
        <v>.</v>
      </c>
      <c r="D3" s="1" t="s">
        <v>25</v>
      </c>
      <c r="E3" s="1" t="s">
        <v>17</v>
      </c>
      <c r="F3" s="1" t="s">
        <v>18</v>
      </c>
      <c r="G3" s="1" t="s">
        <v>19</v>
      </c>
      <c r="H3" s="1" t="s">
        <v>18</v>
      </c>
      <c r="I3" s="1" t="s">
        <v>19</v>
      </c>
      <c r="J3" s="1" t="s">
        <v>20</v>
      </c>
      <c r="K3" s="1" t="s">
        <v>21</v>
      </c>
      <c r="L3" s="1" t="s">
        <v>22</v>
      </c>
      <c r="M3" s="1" t="s">
        <v>23</v>
      </c>
      <c r="N3" s="1" t="s">
        <v>24</v>
      </c>
      <c r="O3" s="1" t="s">
        <v>23</v>
      </c>
      <c r="P3" s="1">
        <f t="shared" si="0"/>
        <v>1</v>
      </c>
    </row>
    <row r="4">
      <c r="A4" s="1" t="s">
        <v>15</v>
      </c>
      <c r="B4" s="1" t="str">
        <f>K4</f>
        <v xml:space="preserve">01 Classis Assessments</v>
      </c>
      <c r="C4" s="1" t="str">
        <f>L4</f>
        <v>.</v>
      </c>
      <c r="D4" t="s">
        <v>26</v>
      </c>
      <c r="E4" t="s">
        <v>27</v>
      </c>
      <c r="F4" s="1" t="s">
        <v>18</v>
      </c>
      <c r="G4" s="1" t="s">
        <v>23</v>
      </c>
      <c r="H4" s="1" t="s">
        <v>18</v>
      </c>
      <c r="I4" s="1" t="s">
        <v>23</v>
      </c>
      <c r="J4" s="1" t="s">
        <v>28</v>
      </c>
      <c r="K4" s="1" t="s">
        <v>29</v>
      </c>
      <c r="L4" s="1" t="s">
        <v>22</v>
      </c>
      <c r="M4" s="1" t="s">
        <v>23</v>
      </c>
      <c r="N4" s="1" t="s">
        <v>30</v>
      </c>
      <c r="O4" s="1" t="s">
        <v>23</v>
      </c>
      <c r="P4" s="1">
        <f t="shared" si="0"/>
        <v>2</v>
      </c>
    </row>
    <row r="5">
      <c r="A5" s="1" t="s">
        <v>15</v>
      </c>
      <c r="B5" s="1" t="str">
        <f>K5</f>
        <v xml:space="preserve">01 Classis Assessments</v>
      </c>
      <c r="C5" s="1" t="str">
        <f>L5</f>
        <v>.</v>
      </c>
      <c r="D5" s="1" t="s">
        <v>31</v>
      </c>
      <c r="E5" s="1" t="s">
        <v>27</v>
      </c>
      <c r="F5" s="1" t="s">
        <v>18</v>
      </c>
      <c r="G5" s="1" t="s">
        <v>23</v>
      </c>
      <c r="H5" s="1" t="s">
        <v>18</v>
      </c>
      <c r="I5" s="1" t="s">
        <v>23</v>
      </c>
      <c r="J5" s="1" t="s">
        <v>28</v>
      </c>
      <c r="K5" s="1" t="s">
        <v>29</v>
      </c>
      <c r="L5" s="1" t="s">
        <v>22</v>
      </c>
      <c r="M5" s="1" t="s">
        <v>23</v>
      </c>
      <c r="N5" s="1" t="s">
        <v>30</v>
      </c>
      <c r="O5" s="1" t="s">
        <v>23</v>
      </c>
      <c r="P5" s="1">
        <f t="shared" si="0"/>
        <v>2</v>
      </c>
    </row>
    <row r="6">
      <c r="A6" s="1" t="s">
        <v>15</v>
      </c>
      <c r="B6" s="1" t="str">
        <f>K6</f>
        <v xml:space="preserve">02 Contributions</v>
      </c>
      <c r="C6" s="1" t="str">
        <f>L6</f>
        <v>.</v>
      </c>
      <c r="D6" t="s">
        <v>32</v>
      </c>
      <c r="E6" s="1" t="s">
        <v>17</v>
      </c>
      <c r="F6" s="1" t="s">
        <v>18</v>
      </c>
      <c r="G6" s="1" t="s">
        <v>23</v>
      </c>
      <c r="H6" s="1" t="s">
        <v>18</v>
      </c>
      <c r="I6" s="1" t="s">
        <v>23</v>
      </c>
      <c r="J6" s="1" t="s">
        <v>28</v>
      </c>
      <c r="K6" s="1" t="s">
        <v>21</v>
      </c>
      <c r="L6" s="1" t="s">
        <v>22</v>
      </c>
      <c r="M6" s="1" t="s">
        <v>23</v>
      </c>
      <c r="N6" s="1" t="s">
        <v>30</v>
      </c>
      <c r="O6" s="1" t="s">
        <v>23</v>
      </c>
      <c r="P6" s="1">
        <f t="shared" si="0"/>
        <v>3</v>
      </c>
    </row>
    <row r="7">
      <c r="A7" s="1" t="s">
        <v>15</v>
      </c>
      <c r="B7" s="1" t="str">
        <f>K7</f>
        <v xml:space="preserve">02 Contributions</v>
      </c>
      <c r="C7" s="1" t="str">
        <f>L7</f>
        <v>.</v>
      </c>
      <c r="D7" s="1" t="s">
        <v>33</v>
      </c>
      <c r="E7" s="1" t="s">
        <v>17</v>
      </c>
      <c r="F7" s="1" t="s">
        <v>18</v>
      </c>
      <c r="G7" s="1" t="s">
        <v>23</v>
      </c>
      <c r="H7" s="1" t="s">
        <v>18</v>
      </c>
      <c r="I7" s="1" t="s">
        <v>23</v>
      </c>
      <c r="J7" s="1" t="s">
        <v>28</v>
      </c>
      <c r="K7" s="1" t="s">
        <v>21</v>
      </c>
      <c r="L7" s="1" t="s">
        <v>22</v>
      </c>
      <c r="M7" s="1" t="s">
        <v>23</v>
      </c>
      <c r="N7" s="1" t="s">
        <v>30</v>
      </c>
      <c r="O7" s="1" t="s">
        <v>23</v>
      </c>
      <c r="P7" s="1">
        <f t="shared" si="0"/>
        <v>3</v>
      </c>
    </row>
    <row r="8">
      <c r="A8" s="1" t="s">
        <v>15</v>
      </c>
      <c r="B8" s="1" t="str">
        <f>K8</f>
        <v xml:space="preserve">02 Contributions</v>
      </c>
      <c r="C8" s="1" t="str">
        <f>L8</f>
        <v>.</v>
      </c>
      <c r="D8" s="1" t="s">
        <v>34</v>
      </c>
      <c r="E8" t="s">
        <v>27</v>
      </c>
      <c r="F8" s="1" t="s">
        <v>18</v>
      </c>
      <c r="G8" s="1" t="s">
        <v>23</v>
      </c>
      <c r="H8" s="1" t="s">
        <v>18</v>
      </c>
      <c r="I8" s="1" t="s">
        <v>23</v>
      </c>
      <c r="J8" s="1" t="s">
        <v>28</v>
      </c>
      <c r="K8" s="1" t="s">
        <v>21</v>
      </c>
      <c r="L8" s="1" t="s">
        <v>22</v>
      </c>
      <c r="M8" s="1" t="s">
        <v>23</v>
      </c>
      <c r="N8" s="1" t="s">
        <v>30</v>
      </c>
      <c r="O8" s="1" t="s">
        <v>23</v>
      </c>
      <c r="P8" s="1">
        <f t="shared" si="0"/>
        <v>3</v>
      </c>
    </row>
    <row r="9">
      <c r="A9" s="1" t="s">
        <v>15</v>
      </c>
      <c r="B9" s="1" t="str">
        <f>K9</f>
        <v xml:space="preserve">02 Contributions</v>
      </c>
      <c r="C9" s="1" t="str">
        <f>L9</f>
        <v>.</v>
      </c>
      <c r="D9" s="1" t="s">
        <v>35</v>
      </c>
      <c r="E9" s="4" t="s">
        <v>27</v>
      </c>
      <c r="F9" s="1" t="s">
        <v>36</v>
      </c>
      <c r="G9" s="1" t="s">
        <v>23</v>
      </c>
      <c r="H9" s="1" t="s">
        <v>36</v>
      </c>
      <c r="I9" s="1" t="s">
        <v>23</v>
      </c>
      <c r="J9" s="1" t="s">
        <v>28</v>
      </c>
      <c r="K9" s="1" t="s">
        <v>21</v>
      </c>
      <c r="L9" s="1" t="s">
        <v>22</v>
      </c>
      <c r="M9" s="1" t="s">
        <v>23</v>
      </c>
      <c r="N9" s="1" t="s">
        <v>30</v>
      </c>
      <c r="O9" s="1" t="s">
        <v>23</v>
      </c>
      <c r="P9" s="1">
        <f t="shared" si="0"/>
        <v>3</v>
      </c>
    </row>
    <row r="10">
      <c r="A10" s="1" t="s">
        <v>15</v>
      </c>
      <c r="B10" s="1" t="str">
        <f>K10</f>
        <v xml:space="preserve">02 Contributions</v>
      </c>
      <c r="C10" s="1" t="str">
        <f>L10</f>
        <v>.</v>
      </c>
      <c r="D10" s="1" t="s">
        <v>37</v>
      </c>
      <c r="E10" t="s">
        <v>27</v>
      </c>
      <c r="F10" s="1" t="s">
        <v>36</v>
      </c>
      <c r="G10" s="1" t="s">
        <v>23</v>
      </c>
      <c r="H10" s="1" t="s">
        <v>36</v>
      </c>
      <c r="I10" s="1" t="s">
        <v>23</v>
      </c>
      <c r="J10" s="1" t="s">
        <v>28</v>
      </c>
      <c r="K10" s="1" t="s">
        <v>21</v>
      </c>
      <c r="L10" s="1" t="s">
        <v>22</v>
      </c>
      <c r="M10" s="1" t="s">
        <v>23</v>
      </c>
      <c r="N10" s="1" t="s">
        <v>30</v>
      </c>
      <c r="O10" s="1" t="s">
        <v>23</v>
      </c>
      <c r="P10" s="1">
        <f>IF(B10=B9,P9,P9+1)</f>
        <v>3</v>
      </c>
    </row>
    <row r="11">
      <c r="A11" s="1" t="s">
        <v>15</v>
      </c>
      <c r="B11" s="1" t="str">
        <f>K11</f>
        <v xml:space="preserve">02 Contributions</v>
      </c>
      <c r="C11" s="1" t="str">
        <f>L11</f>
        <v>.</v>
      </c>
      <c r="D11" s="1" t="s">
        <v>38</v>
      </c>
      <c r="E11" s="4" t="s">
        <v>27</v>
      </c>
      <c r="F11" s="1" t="s">
        <v>36</v>
      </c>
      <c r="G11" s="1" t="s">
        <v>23</v>
      </c>
      <c r="H11" s="1" t="s">
        <v>36</v>
      </c>
      <c r="I11" s="1" t="s">
        <v>23</v>
      </c>
      <c r="J11" s="1" t="s">
        <v>28</v>
      </c>
      <c r="K11" s="1" t="s">
        <v>21</v>
      </c>
      <c r="L11" s="1" t="s">
        <v>22</v>
      </c>
      <c r="M11" s="1" t="s">
        <v>23</v>
      </c>
      <c r="N11" s="1" t="s">
        <v>30</v>
      </c>
      <c r="O11" s="1" t="s">
        <v>23</v>
      </c>
      <c r="P11" s="1">
        <f t="shared" ref="P11:P30" si="1">IF(B11=B10,P10,P10+1)</f>
        <v>3</v>
      </c>
    </row>
    <row r="12">
      <c r="A12" s="1" t="s">
        <v>15</v>
      </c>
      <c r="B12" s="1" t="str">
        <f>K12</f>
        <v xml:space="preserve">02 Contributions</v>
      </c>
      <c r="C12" s="1" t="str">
        <f>L12</f>
        <v>.</v>
      </c>
      <c r="D12" s="1" t="s">
        <v>39</v>
      </c>
      <c r="E12" t="s">
        <v>27</v>
      </c>
      <c r="F12" s="1" t="s">
        <v>36</v>
      </c>
      <c r="G12" s="1" t="s">
        <v>23</v>
      </c>
      <c r="H12" s="1" t="s">
        <v>36</v>
      </c>
      <c r="I12" s="1" t="s">
        <v>23</v>
      </c>
      <c r="J12" s="1" t="s">
        <v>28</v>
      </c>
      <c r="K12" s="1" t="s">
        <v>21</v>
      </c>
      <c r="L12" s="1" t="s">
        <v>22</v>
      </c>
      <c r="M12" s="1" t="s">
        <v>23</v>
      </c>
      <c r="N12" s="1" t="s">
        <v>30</v>
      </c>
      <c r="O12" s="1" t="s">
        <v>23</v>
      </c>
      <c r="P12" s="1">
        <f t="shared" si="1"/>
        <v>3</v>
      </c>
    </row>
    <row r="13">
      <c r="A13" s="1" t="s">
        <v>15</v>
      </c>
      <c r="B13" s="1" t="str">
        <f>K13</f>
        <v xml:space="preserve">02 Contributions</v>
      </c>
      <c r="C13" s="1" t="str">
        <f>L13</f>
        <v>.</v>
      </c>
      <c r="D13" s="5" t="s">
        <v>40</v>
      </c>
      <c r="E13" s="1"/>
      <c r="F13" s="1"/>
      <c r="G13" s="1"/>
      <c r="H13" s="1"/>
      <c r="I13" s="1"/>
      <c r="J13" s="1" t="s">
        <v>28</v>
      </c>
      <c r="K13" s="1" t="s">
        <v>21</v>
      </c>
      <c r="L13" s="1" t="s">
        <v>22</v>
      </c>
      <c r="M13" s="1" t="s">
        <v>23</v>
      </c>
      <c r="N13" s="1" t="s">
        <v>30</v>
      </c>
      <c r="O13" s="1" t="s">
        <v>23</v>
      </c>
      <c r="P13" s="1">
        <f t="shared" si="1"/>
        <v>3</v>
      </c>
    </row>
    <row r="14">
      <c r="A14" s="1" t="s">
        <v>15</v>
      </c>
      <c r="B14" s="1" t="str">
        <f>K14</f>
        <v xml:space="preserve">02 Contributions</v>
      </c>
      <c r="C14" s="1" t="str">
        <f>L14</f>
        <v>.</v>
      </c>
      <c r="D14" s="1" t="s">
        <v>41</v>
      </c>
      <c r="E14" t="s">
        <v>27</v>
      </c>
      <c r="F14" s="1" t="s">
        <v>36</v>
      </c>
      <c r="G14" s="1" t="s">
        <v>23</v>
      </c>
      <c r="H14" s="1" t="s">
        <v>36</v>
      </c>
      <c r="I14" s="1" t="s">
        <v>23</v>
      </c>
      <c r="J14" s="1" t="s">
        <v>28</v>
      </c>
      <c r="K14" s="1" t="s">
        <v>21</v>
      </c>
      <c r="L14" s="1" t="s">
        <v>22</v>
      </c>
      <c r="M14" s="1" t="s">
        <v>23</v>
      </c>
      <c r="N14" s="1" t="s">
        <v>30</v>
      </c>
      <c r="O14" s="1" t="s">
        <v>23</v>
      </c>
      <c r="P14" s="1">
        <f t="shared" si="1"/>
        <v>3</v>
      </c>
    </row>
    <row r="15">
      <c r="A15" s="1" t="s">
        <v>15</v>
      </c>
      <c r="B15" s="1" t="str">
        <f>K15</f>
        <v xml:space="preserve">02 Contributions</v>
      </c>
      <c r="C15" s="1" t="str">
        <f>L15</f>
        <v>.</v>
      </c>
      <c r="D15" s="1" t="s">
        <v>42</v>
      </c>
      <c r="E15" s="1" t="s">
        <v>17</v>
      </c>
      <c r="F15" s="1" t="s">
        <v>18</v>
      </c>
      <c r="G15" s="1" t="s">
        <v>19</v>
      </c>
      <c r="H15" s="1" t="s">
        <v>18</v>
      </c>
      <c r="I15" s="1" t="s">
        <v>19</v>
      </c>
      <c r="J15" s="1" t="s">
        <v>28</v>
      </c>
      <c r="K15" s="1" t="s">
        <v>21</v>
      </c>
      <c r="L15" s="1" t="s">
        <v>22</v>
      </c>
      <c r="M15" s="1" t="s">
        <v>23</v>
      </c>
      <c r="N15" s="1" t="s">
        <v>30</v>
      </c>
      <c r="O15" s="1" t="s">
        <v>23</v>
      </c>
      <c r="P15" s="1">
        <f t="shared" si="1"/>
        <v>3</v>
      </c>
    </row>
    <row r="16">
      <c r="A16" s="1" t="s">
        <v>15</v>
      </c>
      <c r="B16" s="1" t="str">
        <f>K16</f>
        <v xml:space="preserve">02 Contributions</v>
      </c>
      <c r="C16" s="1" t="str">
        <f>L16</f>
        <v>.</v>
      </c>
      <c r="D16" s="1" t="s">
        <v>43</v>
      </c>
      <c r="E16" t="s">
        <v>27</v>
      </c>
      <c r="F16" s="1" t="s">
        <v>36</v>
      </c>
      <c r="G16" s="1" t="s">
        <v>23</v>
      </c>
      <c r="H16" s="1" t="s">
        <v>36</v>
      </c>
      <c r="I16" s="1" t="s">
        <v>23</v>
      </c>
      <c r="J16" s="1" t="s">
        <v>28</v>
      </c>
      <c r="K16" s="1" t="s">
        <v>21</v>
      </c>
      <c r="L16" s="1" t="s">
        <v>22</v>
      </c>
      <c r="M16" s="1" t="s">
        <v>23</v>
      </c>
      <c r="N16" s="1" t="s">
        <v>30</v>
      </c>
      <c r="O16" s="1" t="s">
        <v>23</v>
      </c>
      <c r="P16" s="1">
        <f t="shared" si="1"/>
        <v>3</v>
      </c>
    </row>
    <row r="17">
      <c r="A17" s="1" t="s">
        <v>15</v>
      </c>
      <c r="B17" s="1" t="str">
        <f>K17</f>
        <v xml:space="preserve">02 Contributions</v>
      </c>
      <c r="C17" s="1" t="str">
        <f>L17</f>
        <v>.</v>
      </c>
      <c r="D17" s="1" t="s">
        <v>44</v>
      </c>
      <c r="E17" s="1" t="s">
        <v>17</v>
      </c>
      <c r="F17" s="1" t="s">
        <v>18</v>
      </c>
      <c r="G17" s="1" t="s">
        <v>23</v>
      </c>
      <c r="H17" s="1" t="s">
        <v>18</v>
      </c>
      <c r="I17" s="1" t="s">
        <v>23</v>
      </c>
      <c r="J17" s="1" t="s">
        <v>28</v>
      </c>
      <c r="K17" s="1" t="s">
        <v>21</v>
      </c>
      <c r="L17" s="1" t="s">
        <v>22</v>
      </c>
      <c r="M17" s="1" t="s">
        <v>23</v>
      </c>
      <c r="N17" s="1" t="s">
        <v>30</v>
      </c>
      <c r="O17" s="1" t="s">
        <v>23</v>
      </c>
      <c r="P17" s="1">
        <f t="shared" si="1"/>
        <v>3</v>
      </c>
    </row>
    <row r="18">
      <c r="A18" s="1" t="s">
        <v>15</v>
      </c>
      <c r="B18" s="1" t="str">
        <f>K18</f>
        <v xml:space="preserve">02 Contributions</v>
      </c>
      <c r="C18" s="1" t="str">
        <f>L18</f>
        <v>.</v>
      </c>
      <c r="D18" s="6" t="s">
        <v>45</v>
      </c>
      <c r="E18" s="1" t="s">
        <v>17</v>
      </c>
      <c r="F18" s="1" t="s">
        <v>18</v>
      </c>
      <c r="G18" s="1" t="s">
        <v>23</v>
      </c>
      <c r="H18" s="1" t="s">
        <v>18</v>
      </c>
      <c r="I18" s="1" t="s">
        <v>23</v>
      </c>
      <c r="J18" s="1" t="s">
        <v>28</v>
      </c>
      <c r="K18" s="1" t="s">
        <v>21</v>
      </c>
      <c r="L18" s="1" t="s">
        <v>22</v>
      </c>
      <c r="M18" s="1" t="s">
        <v>23</v>
      </c>
      <c r="N18" s="1" t="s">
        <v>30</v>
      </c>
      <c r="O18" s="1" t="s">
        <v>23</v>
      </c>
      <c r="P18" s="1">
        <f t="shared" si="1"/>
        <v>3</v>
      </c>
    </row>
    <row r="19">
      <c r="A19" s="1" t="s">
        <v>15</v>
      </c>
      <c r="B19" s="1" t="str">
        <f>K19</f>
        <v xml:space="preserve">02 Contributions</v>
      </c>
      <c r="C19" s="1" t="str">
        <f>L19</f>
        <v>.</v>
      </c>
      <c r="D19" s="1" t="s">
        <v>46</v>
      </c>
      <c r="E19" s="4" t="s">
        <v>27</v>
      </c>
      <c r="F19" s="1" t="s">
        <v>18</v>
      </c>
      <c r="G19" s="1" t="s">
        <v>23</v>
      </c>
      <c r="H19" s="1" t="s">
        <v>18</v>
      </c>
      <c r="I19" s="1" t="s">
        <v>23</v>
      </c>
      <c r="J19" s="1" t="s">
        <v>28</v>
      </c>
      <c r="K19" s="1" t="s">
        <v>21</v>
      </c>
      <c r="L19" s="1" t="s">
        <v>22</v>
      </c>
      <c r="M19" s="1" t="s">
        <v>23</v>
      </c>
      <c r="N19" s="1" t="s">
        <v>30</v>
      </c>
      <c r="O19" s="1" t="s">
        <v>23</v>
      </c>
      <c r="P19" s="1">
        <f t="shared" si="1"/>
        <v>3</v>
      </c>
    </row>
    <row r="20">
      <c r="A20" s="1" t="s">
        <v>15</v>
      </c>
      <c r="B20" s="1" t="str">
        <f>K20</f>
        <v xml:space="preserve">02 Contributions</v>
      </c>
      <c r="C20" s="1" t="str">
        <f>L20</f>
        <v>.</v>
      </c>
      <c r="D20" t="s">
        <v>47</v>
      </c>
      <c r="E20" t="s">
        <v>27</v>
      </c>
      <c r="F20" s="1" t="s">
        <v>48</v>
      </c>
      <c r="G20" s="1" t="s">
        <v>23</v>
      </c>
      <c r="H20" s="1" t="s">
        <v>48</v>
      </c>
      <c r="I20" s="1" t="s">
        <v>23</v>
      </c>
      <c r="J20" s="1" t="s">
        <v>28</v>
      </c>
      <c r="K20" s="1" t="s">
        <v>21</v>
      </c>
      <c r="L20" s="1" t="s">
        <v>22</v>
      </c>
      <c r="M20" s="1" t="s">
        <v>23</v>
      </c>
      <c r="N20" s="1" t="s">
        <v>30</v>
      </c>
      <c r="O20" s="1" t="s">
        <v>23</v>
      </c>
      <c r="P20" s="1">
        <f t="shared" si="1"/>
        <v>3</v>
      </c>
    </row>
    <row r="21">
      <c r="A21" s="1" t="s">
        <v>15</v>
      </c>
      <c r="B21" s="1" t="str">
        <f>K21</f>
        <v xml:space="preserve">03 Investment Income</v>
      </c>
      <c r="C21" s="1" t="str">
        <f>L21</f>
        <v>.</v>
      </c>
      <c r="D21" s="7" t="s">
        <v>49</v>
      </c>
      <c r="E21" s="1" t="s">
        <v>17</v>
      </c>
      <c r="F21" s="1" t="s">
        <v>18</v>
      </c>
      <c r="G21" s="1" t="s">
        <v>50</v>
      </c>
      <c r="H21" s="1" t="s">
        <v>18</v>
      </c>
      <c r="I21" s="1" t="s">
        <v>50</v>
      </c>
      <c r="J21" s="1" t="s">
        <v>51</v>
      </c>
      <c r="K21" s="1" t="s">
        <v>52</v>
      </c>
      <c r="L21" s="1" t="s">
        <v>22</v>
      </c>
      <c r="M21" s="1" t="s">
        <v>53</v>
      </c>
      <c r="N21" s="1" t="s">
        <v>30</v>
      </c>
      <c r="O21" s="1" t="s">
        <v>54</v>
      </c>
      <c r="P21" s="1">
        <f t="shared" si="1"/>
        <v>4</v>
      </c>
    </row>
    <row r="22">
      <c r="A22" s="1" t="s">
        <v>15</v>
      </c>
      <c r="B22" s="1" t="str">
        <f>K22</f>
        <v xml:space="preserve">03 Investment Income</v>
      </c>
      <c r="C22" s="1" t="str">
        <f>L22</f>
        <v>.</v>
      </c>
      <c r="D22" s="8" t="s">
        <v>55</v>
      </c>
      <c r="E22" s="1" t="s">
        <v>17</v>
      </c>
      <c r="F22" s="1" t="s">
        <v>18</v>
      </c>
      <c r="G22" s="1" t="s">
        <v>56</v>
      </c>
      <c r="H22" s="1" t="s">
        <v>18</v>
      </c>
      <c r="I22" s="1" t="s">
        <v>56</v>
      </c>
      <c r="J22" s="1" t="s">
        <v>51</v>
      </c>
      <c r="K22" s="1" t="s">
        <v>52</v>
      </c>
      <c r="L22" s="1" t="s">
        <v>22</v>
      </c>
      <c r="M22" s="1" t="s">
        <v>53</v>
      </c>
      <c r="N22" s="1" t="s">
        <v>56</v>
      </c>
      <c r="O22" s="1" t="s">
        <v>54</v>
      </c>
      <c r="P22" s="1">
        <f t="shared" si="1"/>
        <v>4</v>
      </c>
    </row>
    <row r="23">
      <c r="A23" s="1" t="s">
        <v>15</v>
      </c>
      <c r="B23" s="1" t="str">
        <f>K23</f>
        <v xml:space="preserve">03 Investment Income</v>
      </c>
      <c r="C23" s="1" t="str">
        <f>L23</f>
        <v>.</v>
      </c>
      <c r="D23" s="8" t="s">
        <v>57</v>
      </c>
      <c r="E23" s="1" t="s">
        <v>17</v>
      </c>
      <c r="F23" s="1" t="s">
        <v>18</v>
      </c>
      <c r="G23" s="1" t="s">
        <v>58</v>
      </c>
      <c r="H23" s="1" t="s">
        <v>18</v>
      </c>
      <c r="I23" s="1" t="s">
        <v>58</v>
      </c>
      <c r="J23" s="1" t="s">
        <v>51</v>
      </c>
      <c r="K23" s="1" t="s">
        <v>52</v>
      </c>
      <c r="L23" s="1" t="s">
        <v>22</v>
      </c>
      <c r="M23" s="1" t="s">
        <v>53</v>
      </c>
      <c r="N23" s="1" t="s">
        <v>59</v>
      </c>
      <c r="O23" s="1" t="s">
        <v>54</v>
      </c>
      <c r="P23" s="1">
        <f t="shared" si="1"/>
        <v>4</v>
      </c>
    </row>
    <row r="24">
      <c r="A24" s="1" t="s">
        <v>15</v>
      </c>
      <c r="B24" s="1" t="str">
        <f>K24</f>
        <v xml:space="preserve">03 Investment Income</v>
      </c>
      <c r="C24" s="1" t="str">
        <f>L24</f>
        <v>.</v>
      </c>
      <c r="D24" s="8" t="s">
        <v>60</v>
      </c>
      <c r="E24" s="1" t="s">
        <v>17</v>
      </c>
      <c r="F24" s="1" t="s">
        <v>18</v>
      </c>
      <c r="G24" s="1" t="s">
        <v>58</v>
      </c>
      <c r="H24" s="1" t="s">
        <v>18</v>
      </c>
      <c r="I24" s="1" t="s">
        <v>58</v>
      </c>
      <c r="J24" s="1" t="s">
        <v>51</v>
      </c>
      <c r="K24" s="1" t="s">
        <v>52</v>
      </c>
      <c r="L24" s="1" t="s">
        <v>22</v>
      </c>
      <c r="M24" s="1" t="s">
        <v>53</v>
      </c>
      <c r="N24" s="1" t="s">
        <v>61</v>
      </c>
      <c r="O24" s="1" t="s">
        <v>54</v>
      </c>
      <c r="P24" s="1">
        <f t="shared" si="1"/>
        <v>4</v>
      </c>
    </row>
    <row r="25">
      <c r="A25" s="1" t="s">
        <v>15</v>
      </c>
      <c r="B25" s="1" t="str">
        <f>K25</f>
        <v xml:space="preserve">03 Investment Income</v>
      </c>
      <c r="C25" s="1" t="str">
        <f>L25</f>
        <v>.</v>
      </c>
      <c r="D25" s="8" t="s">
        <v>62</v>
      </c>
      <c r="E25" s="8" t="s">
        <v>63</v>
      </c>
      <c r="F25" s="1" t="s">
        <v>64</v>
      </c>
      <c r="G25" s="1" t="s">
        <v>63</v>
      </c>
      <c r="H25" s="1" t="s">
        <v>64</v>
      </c>
      <c r="I25" s="1" t="s">
        <v>63</v>
      </c>
      <c r="J25" s="1" t="s">
        <v>65</v>
      </c>
      <c r="K25" s="1" t="s">
        <v>52</v>
      </c>
      <c r="L25" s="1" t="s">
        <v>22</v>
      </c>
      <c r="M25" s="1" t="s">
        <v>53</v>
      </c>
      <c r="N25" s="1" t="s">
        <v>66</v>
      </c>
      <c r="O25" s="1" t="s">
        <v>54</v>
      </c>
      <c r="P25" s="1">
        <f t="shared" si="1"/>
        <v>4</v>
      </c>
    </row>
    <row r="26">
      <c r="A26" s="1" t="s">
        <v>15</v>
      </c>
      <c r="B26" s="1" t="str">
        <f>K26</f>
        <v xml:space="preserve">03 Investment Income</v>
      </c>
      <c r="C26" s="1" t="str">
        <f>L26</f>
        <v>.</v>
      </c>
      <c r="D26" s="8" t="s">
        <v>67</v>
      </c>
      <c r="E26" s="1" t="s">
        <v>68</v>
      </c>
      <c r="F26" s="1" t="s">
        <v>36</v>
      </c>
      <c r="G26" s="1" t="s">
        <v>68</v>
      </c>
      <c r="H26" s="1" t="s">
        <v>36</v>
      </c>
      <c r="I26" s="1" t="s">
        <v>68</v>
      </c>
      <c r="J26" s="1" t="s">
        <v>69</v>
      </c>
      <c r="K26" s="1" t="s">
        <v>52</v>
      </c>
      <c r="L26" s="1" t="s">
        <v>22</v>
      </c>
      <c r="M26" s="1" t="s">
        <v>53</v>
      </c>
      <c r="N26" s="1" t="s">
        <v>70</v>
      </c>
      <c r="O26" s="1" t="s">
        <v>54</v>
      </c>
      <c r="P26" s="1">
        <f t="shared" si="1"/>
        <v>4</v>
      </c>
    </row>
    <row r="27">
      <c r="A27" s="1" t="s">
        <v>15</v>
      </c>
      <c r="B27" s="1" t="str">
        <f>K27</f>
        <v xml:space="preserve">03 Investment Income</v>
      </c>
      <c r="C27" s="1" t="str">
        <f>L27</f>
        <v>.</v>
      </c>
      <c r="D27" s="9" t="s">
        <v>71</v>
      </c>
      <c r="E27" s="1" t="s">
        <v>68</v>
      </c>
      <c r="F27" s="1" t="s">
        <v>36</v>
      </c>
      <c r="G27" s="1" t="s">
        <v>68</v>
      </c>
      <c r="H27" s="1" t="s">
        <v>36</v>
      </c>
      <c r="I27" s="1" t="s">
        <v>68</v>
      </c>
      <c r="J27" s="1" t="s">
        <v>69</v>
      </c>
      <c r="K27" s="1" t="s">
        <v>52</v>
      </c>
      <c r="L27" s="1" t="s">
        <v>22</v>
      </c>
      <c r="M27" s="1" t="s">
        <v>53</v>
      </c>
      <c r="N27" s="1" t="s">
        <v>70</v>
      </c>
      <c r="O27" s="1" t="s">
        <v>54</v>
      </c>
      <c r="P27" s="1">
        <f t="shared" si="1"/>
        <v>4</v>
      </c>
    </row>
    <row r="28">
      <c r="A28" s="1" t="s">
        <v>15</v>
      </c>
      <c r="B28" s="1" t="str">
        <f>K28</f>
        <v xml:space="preserve">04 Covenant Income</v>
      </c>
      <c r="C28" s="1" t="str">
        <f>L28</f>
        <v>.</v>
      </c>
      <c r="D28" s="8" t="s">
        <v>72</v>
      </c>
      <c r="E28" s="1" t="s">
        <v>73</v>
      </c>
      <c r="F28" s="1" t="s">
        <v>18</v>
      </c>
      <c r="G28" s="1" t="s">
        <v>74</v>
      </c>
      <c r="H28" s="1" t="s">
        <v>18</v>
      </c>
      <c r="I28" s="1" t="s">
        <v>74</v>
      </c>
      <c r="J28" s="1" t="s">
        <v>75</v>
      </c>
      <c r="K28" s="1" t="s">
        <v>76</v>
      </c>
      <c r="L28" s="1" t="s">
        <v>22</v>
      </c>
      <c r="M28" s="1" t="s">
        <v>53</v>
      </c>
      <c r="N28" s="1" t="s">
        <v>77</v>
      </c>
      <c r="O28" s="1" t="s">
        <v>54</v>
      </c>
      <c r="P28" s="1">
        <f t="shared" si="1"/>
        <v>5</v>
      </c>
    </row>
    <row r="29">
      <c r="A29" s="1" t="s">
        <v>15</v>
      </c>
      <c r="B29" s="1" t="str">
        <f>K29</f>
        <v xml:space="preserve">04 Covenant Income</v>
      </c>
      <c r="C29" s="1" t="str">
        <f>L29</f>
        <v>.</v>
      </c>
      <c r="D29" s="1" t="s">
        <v>78</v>
      </c>
      <c r="E29" s="1" t="s">
        <v>74</v>
      </c>
      <c r="F29" s="1" t="s">
        <v>36</v>
      </c>
      <c r="G29" s="1" t="s">
        <v>74</v>
      </c>
      <c r="H29" s="1" t="s">
        <v>36</v>
      </c>
      <c r="I29" s="1" t="s">
        <v>74</v>
      </c>
      <c r="J29" s="1" t="s">
        <v>75</v>
      </c>
      <c r="K29" s="1" t="s">
        <v>76</v>
      </c>
      <c r="L29" s="1" t="s">
        <v>22</v>
      </c>
      <c r="M29" s="1" t="s">
        <v>53</v>
      </c>
      <c r="N29" s="1" t="s">
        <v>77</v>
      </c>
      <c r="O29" s="1" t="s">
        <v>54</v>
      </c>
      <c r="P29" s="1">
        <f t="shared" si="1"/>
        <v>5</v>
      </c>
    </row>
    <row r="30">
      <c r="A30" s="1" t="s">
        <v>15</v>
      </c>
      <c r="B30" s="1" t="str">
        <f>K30</f>
        <v xml:space="preserve">04 Covenant Income</v>
      </c>
      <c r="C30" s="1" t="str">
        <f>L30</f>
        <v>.</v>
      </c>
      <c r="D30" s="8" t="s">
        <v>79</v>
      </c>
      <c r="E30" s="1" t="s">
        <v>74</v>
      </c>
      <c r="F30" s="1" t="s">
        <v>36</v>
      </c>
      <c r="G30" s="1" t="s">
        <v>74</v>
      </c>
      <c r="H30" s="1" t="s">
        <v>36</v>
      </c>
      <c r="I30" s="1" t="s">
        <v>74</v>
      </c>
      <c r="J30" s="1" t="s">
        <v>75</v>
      </c>
      <c r="K30" s="1" t="s">
        <v>76</v>
      </c>
      <c r="L30" s="1" t="s">
        <v>22</v>
      </c>
      <c r="M30" s="1" t="s">
        <v>53</v>
      </c>
      <c r="N30" s="1" t="s">
        <v>77</v>
      </c>
      <c r="O30" s="1" t="s">
        <v>54</v>
      </c>
      <c r="P30" s="1">
        <f t="shared" si="1"/>
        <v>5</v>
      </c>
    </row>
    <row r="31">
      <c r="A31" s="1" t="s">
        <v>15</v>
      </c>
      <c r="B31" s="1" t="str">
        <f>K31</f>
        <v xml:space="preserve">05 Other Income</v>
      </c>
      <c r="C31" s="1" t="str">
        <f>L31</f>
        <v>.</v>
      </c>
      <c r="D31" s="1" t="s">
        <v>80</v>
      </c>
      <c r="E31" s="1" t="s">
        <v>17</v>
      </c>
      <c r="F31" s="1" t="s">
        <v>18</v>
      </c>
      <c r="G31" s="1" t="s">
        <v>81</v>
      </c>
      <c r="H31" s="1" t="s">
        <v>18</v>
      </c>
      <c r="I31" s="1" t="s">
        <v>81</v>
      </c>
      <c r="J31" s="1" t="s">
        <v>82</v>
      </c>
      <c r="K31" s="1" t="s">
        <v>82</v>
      </c>
      <c r="L31" s="1" t="s">
        <v>22</v>
      </c>
      <c r="M31" s="1" t="s">
        <v>30</v>
      </c>
      <c r="N31" s="1" t="s">
        <v>22</v>
      </c>
      <c r="O31" s="1" t="s">
        <v>81</v>
      </c>
      <c r="P31" s="1" t="e">
        <f>IF(B31=#REF!,#REF!,#REF!+1)</f>
        <v>#REF!</v>
      </c>
    </row>
    <row r="32">
      <c r="A32" s="1" t="s">
        <v>15</v>
      </c>
      <c r="B32" s="1" t="str">
        <f>K32</f>
        <v xml:space="preserve">05 Other Income</v>
      </c>
      <c r="C32" s="1" t="str">
        <f>L32</f>
        <v>.</v>
      </c>
      <c r="D32" s="1" t="s">
        <v>83</v>
      </c>
      <c r="E32" s="1" t="s">
        <v>17</v>
      </c>
      <c r="F32" s="1" t="s">
        <v>18</v>
      </c>
      <c r="G32" s="1" t="s">
        <v>81</v>
      </c>
      <c r="H32" s="1" t="s">
        <v>18</v>
      </c>
      <c r="I32" s="1" t="s">
        <v>81</v>
      </c>
      <c r="J32" s="1" t="s">
        <v>82</v>
      </c>
      <c r="K32" s="1" t="s">
        <v>82</v>
      </c>
      <c r="L32" s="1" t="s">
        <v>22</v>
      </c>
      <c r="M32" s="1" t="s">
        <v>30</v>
      </c>
      <c r="N32" s="1" t="s">
        <v>22</v>
      </c>
      <c r="O32" s="1" t="s">
        <v>81</v>
      </c>
      <c r="P32" s="1" t="e">
        <f t="shared" ref="P32:P95" si="2">IF(B32=B31,P31,P31+1)</f>
        <v>#REF!</v>
      </c>
    </row>
    <row r="33">
      <c r="A33" s="1" t="s">
        <v>15</v>
      </c>
      <c r="B33" s="1" t="str">
        <f>K33</f>
        <v xml:space="preserve">05 Other Income</v>
      </c>
      <c r="C33" s="1" t="str">
        <f>L33</f>
        <v>.</v>
      </c>
      <c r="D33" s="1" t="s">
        <v>84</v>
      </c>
      <c r="E33" s="1" t="s">
        <v>17</v>
      </c>
      <c r="F33" s="1" t="s">
        <v>18</v>
      </c>
      <c r="G33" s="1" t="s">
        <v>81</v>
      </c>
      <c r="H33" s="1" t="s">
        <v>18</v>
      </c>
      <c r="I33" s="1" t="s">
        <v>81</v>
      </c>
      <c r="J33" s="1" t="s">
        <v>82</v>
      </c>
      <c r="K33" s="1" t="s">
        <v>82</v>
      </c>
      <c r="L33" s="1" t="s">
        <v>22</v>
      </c>
      <c r="M33" s="1" t="s">
        <v>30</v>
      </c>
      <c r="N33" s="1" t="s">
        <v>22</v>
      </c>
      <c r="O33" s="1" t="s">
        <v>81</v>
      </c>
      <c r="P33" s="1" t="e">
        <f t="shared" si="2"/>
        <v>#REF!</v>
      </c>
    </row>
    <row r="34">
      <c r="A34" s="1" t="s">
        <v>15</v>
      </c>
      <c r="B34" s="1" t="str">
        <f>K34</f>
        <v xml:space="preserve">05 Other Income</v>
      </c>
      <c r="C34" s="1" t="str">
        <f>L34</f>
        <v>.</v>
      </c>
      <c r="D34" s="4" t="s">
        <v>85</v>
      </c>
      <c r="E34" s="4" t="s">
        <v>27</v>
      </c>
      <c r="F34" s="1" t="s">
        <v>18</v>
      </c>
      <c r="G34" s="1" t="s">
        <v>81</v>
      </c>
      <c r="H34" s="1" t="s">
        <v>18</v>
      </c>
      <c r="I34" s="1" t="s">
        <v>81</v>
      </c>
      <c r="J34" s="1" t="s">
        <v>82</v>
      </c>
      <c r="K34" s="1" t="s">
        <v>82</v>
      </c>
      <c r="L34" s="1" t="s">
        <v>22</v>
      </c>
      <c r="M34" s="1" t="s">
        <v>30</v>
      </c>
      <c r="N34" s="1" t="s">
        <v>22</v>
      </c>
      <c r="O34" s="1" t="s">
        <v>81</v>
      </c>
      <c r="P34" s="1" t="e">
        <f t="shared" si="2"/>
        <v>#REF!</v>
      </c>
    </row>
    <row r="35">
      <c r="A35" s="1" t="s">
        <v>15</v>
      </c>
      <c r="B35" s="1" t="str">
        <f>K35</f>
        <v xml:space="preserve">05 Other Income</v>
      </c>
      <c r="C35" s="1" t="str">
        <f>L35</f>
        <v>.</v>
      </c>
      <c r="D35" s="1" t="s">
        <v>86</v>
      </c>
      <c r="E35" s="1" t="s">
        <v>87</v>
      </c>
      <c r="F35" s="1" t="s">
        <v>18</v>
      </c>
      <c r="G35" s="1" t="s">
        <v>81</v>
      </c>
      <c r="H35" s="1" t="s">
        <v>18</v>
      </c>
      <c r="I35" s="1" t="s">
        <v>81</v>
      </c>
      <c r="J35" s="1" t="s">
        <v>82</v>
      </c>
      <c r="K35" s="1" t="s">
        <v>82</v>
      </c>
      <c r="L35" s="1" t="s">
        <v>22</v>
      </c>
      <c r="M35" s="1" t="s">
        <v>30</v>
      </c>
      <c r="N35" s="1" t="s">
        <v>22</v>
      </c>
      <c r="O35" s="1" t="s">
        <v>81</v>
      </c>
      <c r="P35" s="1" t="e">
        <f t="shared" si="2"/>
        <v>#REF!</v>
      </c>
    </row>
    <row r="36">
      <c r="A36" s="1" t="s">
        <v>15</v>
      </c>
      <c r="B36" s="1" t="str">
        <f>K36</f>
        <v xml:space="preserve">05 Other Income</v>
      </c>
      <c r="C36" s="1" t="str">
        <f>L36</f>
        <v>.</v>
      </c>
      <c r="D36" t="s">
        <v>88</v>
      </c>
      <c r="E36" t="s">
        <v>27</v>
      </c>
      <c r="F36" s="1" t="s">
        <v>18</v>
      </c>
      <c r="G36" s="1" t="s">
        <v>81</v>
      </c>
      <c r="H36" s="1" t="s">
        <v>18</v>
      </c>
      <c r="I36" s="1" t="s">
        <v>81</v>
      </c>
      <c r="J36" s="1" t="s">
        <v>82</v>
      </c>
      <c r="K36" s="1" t="s">
        <v>82</v>
      </c>
      <c r="L36" s="1" t="s">
        <v>22</v>
      </c>
      <c r="M36" s="1" t="s">
        <v>30</v>
      </c>
      <c r="N36" s="1" t="s">
        <v>22</v>
      </c>
      <c r="O36" s="1" t="s">
        <v>81</v>
      </c>
      <c r="P36" s="1" t="e">
        <f t="shared" si="2"/>
        <v>#REF!</v>
      </c>
    </row>
    <row r="37">
      <c r="A37" s="1" t="s">
        <v>15</v>
      </c>
      <c r="B37" s="1" t="str">
        <f>K37</f>
        <v xml:space="preserve">05 Other Income</v>
      </c>
      <c r="C37" s="1" t="str">
        <f>L37</f>
        <v>.</v>
      </c>
      <c r="D37" s="1" t="s">
        <v>89</v>
      </c>
      <c r="E37" s="1" t="s">
        <v>17</v>
      </c>
      <c r="F37" s="1" t="s">
        <v>18</v>
      </c>
      <c r="G37" s="1" t="s">
        <v>81</v>
      </c>
      <c r="H37" s="1" t="s">
        <v>18</v>
      </c>
      <c r="I37" s="1" t="s">
        <v>81</v>
      </c>
      <c r="J37" s="1" t="s">
        <v>82</v>
      </c>
      <c r="K37" s="1" t="s">
        <v>82</v>
      </c>
      <c r="L37" s="1" t="s">
        <v>22</v>
      </c>
      <c r="M37" s="1" t="s">
        <v>30</v>
      </c>
      <c r="N37" s="1" t="s">
        <v>22</v>
      </c>
      <c r="O37" s="1" t="s">
        <v>81</v>
      </c>
      <c r="P37" s="1" t="e">
        <f t="shared" si="2"/>
        <v>#REF!</v>
      </c>
    </row>
    <row r="38">
      <c r="A38" s="1" t="s">
        <v>15</v>
      </c>
      <c r="B38" s="1" t="str">
        <f>K38</f>
        <v xml:space="preserve">05 Other Income</v>
      </c>
      <c r="C38" s="1" t="str">
        <f>L38</f>
        <v>.</v>
      </c>
      <c r="D38" s="1" t="s">
        <v>90</v>
      </c>
      <c r="E38" s="1" t="s">
        <v>27</v>
      </c>
      <c r="F38" s="1" t="s">
        <v>48</v>
      </c>
      <c r="G38" s="1" t="s">
        <v>81</v>
      </c>
      <c r="H38" s="1" t="s">
        <v>48</v>
      </c>
      <c r="I38" s="1" t="s">
        <v>81</v>
      </c>
      <c r="J38" s="1" t="s">
        <v>82</v>
      </c>
      <c r="K38" s="1" t="s">
        <v>82</v>
      </c>
      <c r="L38" s="1" t="s">
        <v>22</v>
      </c>
      <c r="M38" s="1" t="s">
        <v>30</v>
      </c>
      <c r="N38" s="1" t="s">
        <v>22</v>
      </c>
      <c r="O38" s="1" t="s">
        <v>81</v>
      </c>
      <c r="P38" s="1" t="e">
        <f t="shared" si="2"/>
        <v>#REF!</v>
      </c>
    </row>
    <row r="39">
      <c r="A39" s="1" t="s">
        <v>91</v>
      </c>
      <c r="B39" s="1" t="str">
        <f>K39</f>
        <v xml:space="preserve">07 Worship &amp; Arts</v>
      </c>
      <c r="C39" s="1" t="str">
        <f>L39</f>
        <v>.</v>
      </c>
      <c r="D39" s="1" t="s">
        <v>92</v>
      </c>
      <c r="E39" s="8" t="s">
        <v>63</v>
      </c>
      <c r="F39" s="1" t="s">
        <v>64</v>
      </c>
      <c r="G39" s="1" t="s">
        <v>93</v>
      </c>
      <c r="H39" s="1" t="s">
        <v>64</v>
      </c>
      <c r="I39" s="1" t="s">
        <v>93</v>
      </c>
      <c r="J39" s="1" t="s">
        <v>94</v>
      </c>
      <c r="K39" s="1" t="s">
        <v>94</v>
      </c>
      <c r="L39" s="1" t="s">
        <v>22</v>
      </c>
      <c r="M39" s="1" t="s">
        <v>95</v>
      </c>
      <c r="N39" s="1" t="s">
        <v>96</v>
      </c>
      <c r="O39" s="1" t="s">
        <v>97</v>
      </c>
      <c r="P39" s="1" t="e">
        <f t="shared" si="2"/>
        <v>#REF!</v>
      </c>
    </row>
    <row r="40">
      <c r="A40" s="1" t="s">
        <v>91</v>
      </c>
      <c r="B40" s="1" t="str">
        <f>K40</f>
        <v xml:space="preserve">07 Worship &amp; Arts</v>
      </c>
      <c r="C40" s="1" t="str">
        <f>L40</f>
        <v>.</v>
      </c>
      <c r="D40" s="1" t="s">
        <v>98</v>
      </c>
      <c r="E40" s="8" t="s">
        <v>63</v>
      </c>
      <c r="F40" s="1" t="s">
        <v>64</v>
      </c>
      <c r="G40" s="1" t="s">
        <v>93</v>
      </c>
      <c r="H40" s="1" t="s">
        <v>64</v>
      </c>
      <c r="I40" s="1" t="s">
        <v>93</v>
      </c>
      <c r="J40" s="1" t="s">
        <v>94</v>
      </c>
      <c r="K40" s="1" t="s">
        <v>94</v>
      </c>
      <c r="L40" s="1" t="s">
        <v>22</v>
      </c>
      <c r="M40" s="1" t="s">
        <v>95</v>
      </c>
      <c r="N40" s="1" t="s">
        <v>96</v>
      </c>
      <c r="O40" s="1" t="s">
        <v>97</v>
      </c>
      <c r="P40" s="1" t="e">
        <f t="shared" si="2"/>
        <v>#REF!</v>
      </c>
    </row>
    <row r="41">
      <c r="A41" s="1" t="s">
        <v>91</v>
      </c>
      <c r="B41" s="1" t="str">
        <f>K41</f>
        <v xml:space="preserve">07 Worship &amp; Arts</v>
      </c>
      <c r="C41" s="1" t="str">
        <f>L41</f>
        <v>.</v>
      </c>
      <c r="D41" s="1" t="s">
        <v>99</v>
      </c>
      <c r="E41" s="1" t="s">
        <v>17</v>
      </c>
      <c r="F41" s="1" t="s">
        <v>18</v>
      </c>
      <c r="G41" s="1" t="s">
        <v>100</v>
      </c>
      <c r="H41" s="1" t="s">
        <v>18</v>
      </c>
      <c r="I41" s="1" t="s">
        <v>96</v>
      </c>
      <c r="J41" s="1" t="s">
        <v>94</v>
      </c>
      <c r="K41" s="1" t="s">
        <v>94</v>
      </c>
      <c r="L41" s="1" t="s">
        <v>22</v>
      </c>
      <c r="M41" s="1" t="s">
        <v>95</v>
      </c>
      <c r="N41" s="1" t="s">
        <v>96</v>
      </c>
      <c r="O41" s="1" t="s">
        <v>18</v>
      </c>
      <c r="P41" s="1" t="e">
        <f t="shared" si="2"/>
        <v>#REF!</v>
      </c>
    </row>
    <row r="42">
      <c r="A42" s="1" t="s">
        <v>91</v>
      </c>
      <c r="B42" s="1" t="str">
        <f>K42</f>
        <v xml:space="preserve">07 Worship &amp; Arts</v>
      </c>
      <c r="C42" s="1" t="str">
        <f>L42</f>
        <v>.</v>
      </c>
      <c r="D42" s="1" t="s">
        <v>101</v>
      </c>
      <c r="E42" s="1" t="s">
        <v>17</v>
      </c>
      <c r="F42" s="1" t="s">
        <v>18</v>
      </c>
      <c r="G42" s="1" t="s">
        <v>100</v>
      </c>
      <c r="H42" s="1" t="s">
        <v>18</v>
      </c>
      <c r="I42" s="1" t="s">
        <v>96</v>
      </c>
      <c r="J42" s="1" t="s">
        <v>94</v>
      </c>
      <c r="K42" s="1" t="s">
        <v>94</v>
      </c>
      <c r="L42" s="1" t="s">
        <v>22</v>
      </c>
      <c r="M42" s="1" t="s">
        <v>95</v>
      </c>
      <c r="N42" s="1" t="s">
        <v>96</v>
      </c>
      <c r="O42" s="1" t="s">
        <v>18</v>
      </c>
      <c r="P42" s="1" t="e">
        <f t="shared" si="2"/>
        <v>#REF!</v>
      </c>
    </row>
    <row r="43">
      <c r="A43" s="1" t="s">
        <v>91</v>
      </c>
      <c r="B43" s="1" t="str">
        <f>K43</f>
        <v xml:space="preserve">07 Worship &amp; Arts</v>
      </c>
      <c r="C43" s="1" t="str">
        <f>L43</f>
        <v>.</v>
      </c>
      <c r="D43" s="1" t="s">
        <v>102</v>
      </c>
      <c r="E43" s="1" t="s">
        <v>17</v>
      </c>
      <c r="F43" s="1" t="s">
        <v>18</v>
      </c>
      <c r="G43" s="1" t="s">
        <v>100</v>
      </c>
      <c r="H43" s="1" t="s">
        <v>18</v>
      </c>
      <c r="I43" s="1" t="s">
        <v>96</v>
      </c>
      <c r="J43" s="1" t="s">
        <v>94</v>
      </c>
      <c r="K43" s="1" t="s">
        <v>94</v>
      </c>
      <c r="L43" s="1" t="s">
        <v>22</v>
      </c>
      <c r="M43" s="1" t="s">
        <v>95</v>
      </c>
      <c r="N43" s="1" t="s">
        <v>96</v>
      </c>
      <c r="O43" s="1" t="s">
        <v>18</v>
      </c>
      <c r="P43" s="1" t="e">
        <f t="shared" si="2"/>
        <v>#REF!</v>
      </c>
    </row>
    <row r="44">
      <c r="A44" s="1" t="s">
        <v>91</v>
      </c>
      <c r="B44" s="1" t="str">
        <f>K44</f>
        <v xml:space="preserve">07 Worship &amp; Arts</v>
      </c>
      <c r="C44" s="1" t="str">
        <f>L44</f>
        <v>.</v>
      </c>
      <c r="D44" s="1" t="s">
        <v>103</v>
      </c>
      <c r="E44" s="8" t="s">
        <v>63</v>
      </c>
      <c r="F44" s="1" t="s">
        <v>64</v>
      </c>
      <c r="G44" s="1" t="s">
        <v>100</v>
      </c>
      <c r="H44" s="1" t="s">
        <v>64</v>
      </c>
      <c r="I44" s="1" t="s">
        <v>104</v>
      </c>
      <c r="J44" s="1" t="s">
        <v>94</v>
      </c>
      <c r="K44" s="1" t="s">
        <v>94</v>
      </c>
      <c r="L44" s="1" t="s">
        <v>22</v>
      </c>
      <c r="M44" s="1" t="s">
        <v>95</v>
      </c>
      <c r="N44" s="1" t="s">
        <v>96</v>
      </c>
      <c r="O44" s="1" t="s">
        <v>97</v>
      </c>
      <c r="P44" s="1" t="e">
        <f t="shared" si="2"/>
        <v>#REF!</v>
      </c>
    </row>
    <row r="45">
      <c r="A45" s="1" t="s">
        <v>91</v>
      </c>
      <c r="B45" s="1" t="str">
        <f>K45</f>
        <v xml:space="preserve">07 Worship &amp; Arts</v>
      </c>
      <c r="C45" s="1" t="str">
        <f>L45</f>
        <v>.</v>
      </c>
      <c r="D45" s="1" t="s">
        <v>105</v>
      </c>
      <c r="E45" s="8" t="s">
        <v>63</v>
      </c>
      <c r="F45" s="1" t="s">
        <v>64</v>
      </c>
      <c r="G45" s="1" t="s">
        <v>100</v>
      </c>
      <c r="H45" s="1" t="s">
        <v>64</v>
      </c>
      <c r="I45" s="1" t="s">
        <v>104</v>
      </c>
      <c r="J45" s="1" t="s">
        <v>94</v>
      </c>
      <c r="K45" s="1" t="s">
        <v>94</v>
      </c>
      <c r="L45" s="1" t="s">
        <v>22</v>
      </c>
      <c r="M45" s="1" t="s">
        <v>95</v>
      </c>
      <c r="N45" s="1" t="s">
        <v>96</v>
      </c>
      <c r="O45" s="1" t="s">
        <v>97</v>
      </c>
      <c r="P45" s="1" t="e">
        <f t="shared" si="2"/>
        <v>#REF!</v>
      </c>
    </row>
    <row r="46">
      <c r="A46" s="1" t="s">
        <v>91</v>
      </c>
      <c r="B46" s="1" t="str">
        <f>K46</f>
        <v xml:space="preserve">07 Worship &amp; Arts</v>
      </c>
      <c r="C46" s="1" t="str">
        <f>L46</f>
        <v>.</v>
      </c>
      <c r="D46" s="1" t="s">
        <v>106</v>
      </c>
      <c r="E46" s="8" t="s">
        <v>63</v>
      </c>
      <c r="F46" s="1" t="s">
        <v>64</v>
      </c>
      <c r="G46" s="1" t="s">
        <v>100</v>
      </c>
      <c r="H46" s="1" t="s">
        <v>64</v>
      </c>
      <c r="I46" s="1" t="s">
        <v>104</v>
      </c>
      <c r="J46" s="1" t="s">
        <v>94</v>
      </c>
      <c r="K46" s="1" t="s">
        <v>94</v>
      </c>
      <c r="L46" s="1" t="s">
        <v>22</v>
      </c>
      <c r="M46" s="1" t="s">
        <v>95</v>
      </c>
      <c r="N46" s="1" t="s">
        <v>96</v>
      </c>
      <c r="O46" s="1" t="s">
        <v>97</v>
      </c>
      <c r="P46" s="1" t="e">
        <f t="shared" si="2"/>
        <v>#REF!</v>
      </c>
    </row>
    <row r="47">
      <c r="A47" s="1" t="s">
        <v>91</v>
      </c>
      <c r="B47" s="1" t="str">
        <f>K47</f>
        <v xml:space="preserve">07 Worship &amp; Arts</v>
      </c>
      <c r="C47" s="1" t="str">
        <f>L47</f>
        <v>.</v>
      </c>
      <c r="D47" s="1" t="s">
        <v>107</v>
      </c>
      <c r="E47" s="1" t="s">
        <v>17</v>
      </c>
      <c r="F47" s="1" t="s">
        <v>18</v>
      </c>
      <c r="G47" s="1" t="s">
        <v>100</v>
      </c>
      <c r="H47" s="1" t="s">
        <v>18</v>
      </c>
      <c r="I47" s="1" t="s">
        <v>96</v>
      </c>
      <c r="J47" s="1" t="s">
        <v>94</v>
      </c>
      <c r="K47" s="1" t="s">
        <v>94</v>
      </c>
      <c r="L47" s="1" t="s">
        <v>22</v>
      </c>
      <c r="M47" s="1" t="s">
        <v>95</v>
      </c>
      <c r="N47" s="1" t="s">
        <v>96</v>
      </c>
      <c r="O47" s="1" t="s">
        <v>18</v>
      </c>
      <c r="P47" s="1" t="e">
        <f t="shared" si="2"/>
        <v>#REF!</v>
      </c>
    </row>
    <row r="48">
      <c r="A48" s="1" t="s">
        <v>91</v>
      </c>
      <c r="B48" s="1" t="str">
        <f>K48</f>
        <v xml:space="preserve">07 Worship &amp; Arts</v>
      </c>
      <c r="C48" s="1" t="str">
        <f>L48</f>
        <v>.</v>
      </c>
      <c r="D48" s="1" t="s">
        <v>108</v>
      </c>
      <c r="E48" s="8" t="s">
        <v>63</v>
      </c>
      <c r="F48" s="1" t="s">
        <v>64</v>
      </c>
      <c r="G48" s="1" t="s">
        <v>100</v>
      </c>
      <c r="H48" s="1" t="s">
        <v>64</v>
      </c>
      <c r="I48" s="1" t="s">
        <v>104</v>
      </c>
      <c r="J48" s="1" t="s">
        <v>94</v>
      </c>
      <c r="K48" s="1" t="s">
        <v>94</v>
      </c>
      <c r="L48" s="1" t="s">
        <v>22</v>
      </c>
      <c r="M48" s="1" t="s">
        <v>95</v>
      </c>
      <c r="N48" s="1" t="s">
        <v>96</v>
      </c>
      <c r="O48" s="1" t="s">
        <v>97</v>
      </c>
      <c r="P48" s="1" t="e">
        <f t="shared" si="2"/>
        <v>#REF!</v>
      </c>
    </row>
    <row r="49">
      <c r="A49" s="1" t="s">
        <v>91</v>
      </c>
      <c r="B49" s="1" t="str">
        <f>K49</f>
        <v xml:space="preserve">07 Worship &amp; Arts</v>
      </c>
      <c r="C49" s="1" t="str">
        <f>L49</f>
        <v>.</v>
      </c>
      <c r="D49" s="1" t="s">
        <v>109</v>
      </c>
      <c r="E49" s="1" t="s">
        <v>17</v>
      </c>
      <c r="F49" s="1" t="s">
        <v>18</v>
      </c>
      <c r="G49" s="1" t="s">
        <v>100</v>
      </c>
      <c r="H49" s="1" t="s">
        <v>18</v>
      </c>
      <c r="I49" s="1" t="s">
        <v>96</v>
      </c>
      <c r="J49" s="1" t="s">
        <v>94</v>
      </c>
      <c r="K49" s="1" t="s">
        <v>94</v>
      </c>
      <c r="L49" s="1" t="s">
        <v>22</v>
      </c>
      <c r="M49" s="1" t="s">
        <v>95</v>
      </c>
      <c r="N49" s="1" t="s">
        <v>96</v>
      </c>
      <c r="O49" s="1" t="s">
        <v>18</v>
      </c>
      <c r="P49" s="1" t="e">
        <f t="shared" si="2"/>
        <v>#REF!</v>
      </c>
    </row>
    <row r="50">
      <c r="A50" s="1" t="s">
        <v>91</v>
      </c>
      <c r="B50" s="1" t="str">
        <f>K50</f>
        <v xml:space="preserve">07 Worship &amp; Arts</v>
      </c>
      <c r="C50" s="1" t="str">
        <f>L50</f>
        <v>.</v>
      </c>
      <c r="D50" s="1" t="s">
        <v>110</v>
      </c>
      <c r="E50" s="1" t="s">
        <v>17</v>
      </c>
      <c r="F50" s="1" t="s">
        <v>18</v>
      </c>
      <c r="G50" s="1" t="s">
        <v>100</v>
      </c>
      <c r="H50" s="1" t="s">
        <v>18</v>
      </c>
      <c r="I50" s="1" t="s">
        <v>96</v>
      </c>
      <c r="J50" s="1" t="s">
        <v>94</v>
      </c>
      <c r="K50" s="1" t="s">
        <v>94</v>
      </c>
      <c r="L50" s="1" t="s">
        <v>22</v>
      </c>
      <c r="M50" s="1" t="s">
        <v>95</v>
      </c>
      <c r="N50" s="1" t="s">
        <v>96</v>
      </c>
      <c r="O50" s="1" t="s">
        <v>18</v>
      </c>
      <c r="P50" s="1" t="e">
        <f t="shared" si="2"/>
        <v>#REF!</v>
      </c>
    </row>
    <row r="51">
      <c r="A51" s="1" t="s">
        <v>91</v>
      </c>
      <c r="B51" s="1" t="str">
        <f>K51</f>
        <v xml:space="preserve">07 Worship &amp; Arts</v>
      </c>
      <c r="C51" s="1" t="str">
        <f>L51</f>
        <v>.</v>
      </c>
      <c r="D51" s="1" t="s">
        <v>111</v>
      </c>
      <c r="E51" s="8" t="s">
        <v>63</v>
      </c>
      <c r="F51" s="1" t="s">
        <v>64</v>
      </c>
      <c r="G51" s="1" t="s">
        <v>100</v>
      </c>
      <c r="H51" s="1" t="s">
        <v>64</v>
      </c>
      <c r="I51" s="1" t="s">
        <v>104</v>
      </c>
      <c r="J51" s="1" t="s">
        <v>94</v>
      </c>
      <c r="K51" s="1" t="s">
        <v>94</v>
      </c>
      <c r="L51" s="1" t="s">
        <v>22</v>
      </c>
      <c r="M51" s="1" t="s">
        <v>95</v>
      </c>
      <c r="N51" s="1" t="s">
        <v>96</v>
      </c>
      <c r="O51" s="1" t="s">
        <v>97</v>
      </c>
      <c r="P51" s="1" t="e">
        <f t="shared" si="2"/>
        <v>#REF!</v>
      </c>
    </row>
    <row r="52">
      <c r="A52" s="1" t="s">
        <v>91</v>
      </c>
      <c r="B52" s="1" t="str">
        <f>K52</f>
        <v xml:space="preserve">07 Worship &amp; Arts</v>
      </c>
      <c r="C52" s="1" t="str">
        <f>L52</f>
        <v>.</v>
      </c>
      <c r="D52" s="1" t="s">
        <v>112</v>
      </c>
      <c r="E52" s="8" t="s">
        <v>63</v>
      </c>
      <c r="F52" s="1" t="s">
        <v>64</v>
      </c>
      <c r="G52" s="1" t="s">
        <v>100</v>
      </c>
      <c r="H52" s="1" t="s">
        <v>64</v>
      </c>
      <c r="I52" s="1" t="s">
        <v>104</v>
      </c>
      <c r="J52" s="1" t="s">
        <v>94</v>
      </c>
      <c r="K52" s="1" t="s">
        <v>94</v>
      </c>
      <c r="L52" s="1" t="s">
        <v>22</v>
      </c>
      <c r="M52" s="1" t="s">
        <v>95</v>
      </c>
      <c r="N52" s="1" t="s">
        <v>96</v>
      </c>
      <c r="O52" s="1" t="s">
        <v>97</v>
      </c>
      <c r="P52" s="1" t="e">
        <f t="shared" si="2"/>
        <v>#REF!</v>
      </c>
    </row>
    <row r="53">
      <c r="A53" s="1" t="s">
        <v>91</v>
      </c>
      <c r="B53" s="1" t="str">
        <f>K53</f>
        <v xml:space="preserve">07 Worship &amp; Arts</v>
      </c>
      <c r="C53" s="1" t="str">
        <f>L53</f>
        <v>.</v>
      </c>
      <c r="D53" s="1" t="s">
        <v>113</v>
      </c>
      <c r="E53" s="1" t="s">
        <v>17</v>
      </c>
      <c r="F53" s="1" t="s">
        <v>18</v>
      </c>
      <c r="G53" s="1" t="s">
        <v>100</v>
      </c>
      <c r="H53" s="1" t="s">
        <v>18</v>
      </c>
      <c r="I53" s="1" t="s">
        <v>96</v>
      </c>
      <c r="J53" s="1" t="s">
        <v>94</v>
      </c>
      <c r="K53" s="1" t="s">
        <v>94</v>
      </c>
      <c r="L53" s="1" t="s">
        <v>22</v>
      </c>
      <c r="M53" s="1" t="s">
        <v>95</v>
      </c>
      <c r="N53" s="1" t="s">
        <v>96</v>
      </c>
      <c r="O53" s="1" t="s">
        <v>18</v>
      </c>
      <c r="P53" s="1" t="e">
        <f t="shared" si="2"/>
        <v>#REF!</v>
      </c>
    </row>
    <row r="54">
      <c r="A54" s="1" t="s">
        <v>91</v>
      </c>
      <c r="B54" s="1" t="str">
        <f>K54</f>
        <v xml:space="preserve">07 Worship &amp; Arts</v>
      </c>
      <c r="C54" s="1" t="str">
        <f>L54</f>
        <v>.</v>
      </c>
      <c r="D54" s="1" t="s">
        <v>114</v>
      </c>
      <c r="E54" s="8" t="s">
        <v>63</v>
      </c>
      <c r="F54" s="1" t="s">
        <v>64</v>
      </c>
      <c r="G54" s="1" t="s">
        <v>100</v>
      </c>
      <c r="H54" s="1" t="s">
        <v>64</v>
      </c>
      <c r="I54" s="1" t="s">
        <v>104</v>
      </c>
      <c r="J54" s="1" t="s">
        <v>94</v>
      </c>
      <c r="K54" s="1" t="s">
        <v>94</v>
      </c>
      <c r="L54" s="1" t="s">
        <v>22</v>
      </c>
      <c r="M54" s="1" t="s">
        <v>95</v>
      </c>
      <c r="N54" s="1" t="s">
        <v>96</v>
      </c>
      <c r="O54" s="1" t="s">
        <v>97</v>
      </c>
      <c r="P54" s="1" t="e">
        <f t="shared" si="2"/>
        <v>#REF!</v>
      </c>
    </row>
    <row r="55">
      <c r="A55" s="1" t="s">
        <v>91</v>
      </c>
      <c r="B55" s="1" t="str">
        <f>K55</f>
        <v xml:space="preserve">07 Worship &amp; Arts</v>
      </c>
      <c r="C55" s="1" t="str">
        <f>L55</f>
        <v>.</v>
      </c>
      <c r="D55" s="1" t="s">
        <v>115</v>
      </c>
      <c r="E55" s="1" t="s">
        <v>17</v>
      </c>
      <c r="F55" s="1" t="s">
        <v>18</v>
      </c>
      <c r="G55" s="1" t="s">
        <v>100</v>
      </c>
      <c r="H55" s="1" t="s">
        <v>18</v>
      </c>
      <c r="I55" s="1" t="s">
        <v>96</v>
      </c>
      <c r="J55" s="1" t="s">
        <v>94</v>
      </c>
      <c r="K55" s="1" t="s">
        <v>94</v>
      </c>
      <c r="L55" s="1" t="s">
        <v>22</v>
      </c>
      <c r="M55" s="1" t="s">
        <v>95</v>
      </c>
      <c r="N55" s="1" t="s">
        <v>96</v>
      </c>
      <c r="O55" s="1" t="s">
        <v>18</v>
      </c>
      <c r="P55" s="1" t="e">
        <f t="shared" si="2"/>
        <v>#REF!</v>
      </c>
    </row>
    <row r="56">
      <c r="A56" s="1" t="s">
        <v>91</v>
      </c>
      <c r="B56" s="1" t="str">
        <f>K56</f>
        <v xml:space="preserve">07 Worship &amp; Arts</v>
      </c>
      <c r="C56" s="1" t="str">
        <f>L56</f>
        <v>.</v>
      </c>
      <c r="D56" s="1" t="s">
        <v>116</v>
      </c>
      <c r="E56" t="s">
        <v>27</v>
      </c>
      <c r="F56" s="1" t="s">
        <v>64</v>
      </c>
      <c r="G56" s="1" t="s">
        <v>100</v>
      </c>
      <c r="H56" s="1" t="s">
        <v>117</v>
      </c>
      <c r="I56" s="1" t="s">
        <v>104</v>
      </c>
      <c r="J56" s="1" t="s">
        <v>94</v>
      </c>
      <c r="K56" s="1" t="s">
        <v>94</v>
      </c>
      <c r="L56" s="1" t="s">
        <v>22</v>
      </c>
      <c r="M56" s="1" t="s">
        <v>95</v>
      </c>
      <c r="N56" s="1" t="s">
        <v>96</v>
      </c>
      <c r="O56" s="1" t="s">
        <v>97</v>
      </c>
      <c r="P56" s="1" t="e">
        <f t="shared" si="2"/>
        <v>#REF!</v>
      </c>
    </row>
    <row r="57">
      <c r="A57" s="1" t="s">
        <v>91</v>
      </c>
      <c r="B57" s="1" t="str">
        <f>K57</f>
        <v xml:space="preserve">07 Worship &amp; Arts</v>
      </c>
      <c r="C57" s="1" t="str">
        <f>L57</f>
        <v>.</v>
      </c>
      <c r="D57" t="s">
        <v>118</v>
      </c>
      <c r="E57" t="s">
        <v>27</v>
      </c>
      <c r="F57" s="1" t="s">
        <v>18</v>
      </c>
      <c r="G57" s="1" t="s">
        <v>100</v>
      </c>
      <c r="H57" s="1" t="s">
        <v>18</v>
      </c>
      <c r="I57" s="1" t="s">
        <v>96</v>
      </c>
      <c r="J57" s="1" t="s">
        <v>94</v>
      </c>
      <c r="K57" s="1" t="s">
        <v>94</v>
      </c>
      <c r="L57" s="1" t="s">
        <v>22</v>
      </c>
      <c r="M57" s="1" t="s">
        <v>95</v>
      </c>
      <c r="N57" s="1" t="s">
        <v>96</v>
      </c>
      <c r="O57" s="1" t="s">
        <v>18</v>
      </c>
      <c r="P57" s="1" t="e">
        <f t="shared" si="2"/>
        <v>#REF!</v>
      </c>
    </row>
    <row r="58">
      <c r="A58" s="1" t="s">
        <v>91</v>
      </c>
      <c r="B58" s="1" t="str">
        <f>K58</f>
        <v xml:space="preserve">07 Worship &amp; Arts</v>
      </c>
      <c r="C58" s="1" t="str">
        <f>L58</f>
        <v>.</v>
      </c>
      <c r="D58" s="1" t="s">
        <v>119</v>
      </c>
      <c r="E58" s="1" t="s">
        <v>17</v>
      </c>
      <c r="F58" s="1" t="s">
        <v>18</v>
      </c>
      <c r="G58" s="1" t="s">
        <v>100</v>
      </c>
      <c r="H58" s="1" t="s">
        <v>18</v>
      </c>
      <c r="I58" s="1" t="s">
        <v>96</v>
      </c>
      <c r="J58" s="1" t="s">
        <v>94</v>
      </c>
      <c r="K58" s="1" t="s">
        <v>94</v>
      </c>
      <c r="L58" s="1" t="s">
        <v>22</v>
      </c>
      <c r="M58" s="1" t="s">
        <v>95</v>
      </c>
      <c r="N58" s="1" t="s">
        <v>96</v>
      </c>
      <c r="O58" s="1" t="s">
        <v>18</v>
      </c>
      <c r="P58" s="1" t="e">
        <f t="shared" si="2"/>
        <v>#REF!</v>
      </c>
    </row>
    <row r="59">
      <c r="A59" s="1" t="s">
        <v>91</v>
      </c>
      <c r="B59" s="1" t="str">
        <f>K59</f>
        <v xml:space="preserve">07 Worship &amp; Arts</v>
      </c>
      <c r="C59" s="1" t="str">
        <f>L59</f>
        <v>.</v>
      </c>
      <c r="D59" s="1" t="s">
        <v>120</v>
      </c>
      <c r="E59" s="1" t="s">
        <v>17</v>
      </c>
      <c r="F59" s="1" t="s">
        <v>18</v>
      </c>
      <c r="G59" s="1" t="s">
        <v>100</v>
      </c>
      <c r="H59" s="1" t="s">
        <v>18</v>
      </c>
      <c r="I59" s="1" t="s">
        <v>96</v>
      </c>
      <c r="J59" s="1" t="s">
        <v>94</v>
      </c>
      <c r="K59" s="1" t="s">
        <v>94</v>
      </c>
      <c r="L59" s="1" t="s">
        <v>22</v>
      </c>
      <c r="M59" s="1" t="s">
        <v>95</v>
      </c>
      <c r="N59" s="1" t="s">
        <v>96</v>
      </c>
      <c r="O59" s="1" t="s">
        <v>18</v>
      </c>
      <c r="P59" s="1" t="e">
        <f t="shared" si="2"/>
        <v>#REF!</v>
      </c>
    </row>
    <row r="60">
      <c r="A60" s="1" t="s">
        <v>91</v>
      </c>
      <c r="B60" s="1" t="str">
        <f>K60</f>
        <v xml:space="preserve">07 Worship &amp; Arts</v>
      </c>
      <c r="C60" s="1" t="str">
        <f>L60</f>
        <v>.</v>
      </c>
      <c r="D60" s="10" t="s">
        <v>121</v>
      </c>
      <c r="E60" s="8" t="s">
        <v>63</v>
      </c>
      <c r="F60" s="1" t="s">
        <v>64</v>
      </c>
      <c r="G60" s="1" t="s">
        <v>100</v>
      </c>
      <c r="H60" s="1" t="s">
        <v>64</v>
      </c>
      <c r="I60" s="1" t="s">
        <v>104</v>
      </c>
      <c r="J60" s="1" t="s">
        <v>94</v>
      </c>
      <c r="K60" s="1" t="s">
        <v>94</v>
      </c>
      <c r="L60" s="1" t="s">
        <v>22</v>
      </c>
      <c r="M60" s="1" t="s">
        <v>95</v>
      </c>
      <c r="N60" s="1" t="s">
        <v>96</v>
      </c>
      <c r="O60" s="1" t="s">
        <v>97</v>
      </c>
      <c r="P60" s="1" t="e">
        <f t="shared" si="2"/>
        <v>#REF!</v>
      </c>
    </row>
    <row r="61">
      <c r="A61" s="1" t="s">
        <v>91</v>
      </c>
      <c r="B61" s="1" t="str">
        <f>K61</f>
        <v xml:space="preserve">07 Worship &amp; Arts</v>
      </c>
      <c r="C61" s="1" t="str">
        <f>L61</f>
        <v>.</v>
      </c>
      <c r="D61" s="1" t="s">
        <v>122</v>
      </c>
      <c r="E61" s="8" t="s">
        <v>63</v>
      </c>
      <c r="F61" s="1" t="s">
        <v>64</v>
      </c>
      <c r="G61" s="1" t="s">
        <v>100</v>
      </c>
      <c r="H61" s="1" t="s">
        <v>64</v>
      </c>
      <c r="I61" s="1" t="s">
        <v>104</v>
      </c>
      <c r="J61" s="1" t="s">
        <v>94</v>
      </c>
      <c r="K61" s="1" t="s">
        <v>94</v>
      </c>
      <c r="L61" s="1" t="s">
        <v>22</v>
      </c>
      <c r="M61" s="1" t="s">
        <v>95</v>
      </c>
      <c r="N61" s="1" t="s">
        <v>96</v>
      </c>
      <c r="O61" s="1" t="s">
        <v>97</v>
      </c>
      <c r="P61" s="1" t="e">
        <f t="shared" si="2"/>
        <v>#REF!</v>
      </c>
    </row>
    <row r="62">
      <c r="A62" s="1" t="s">
        <v>91</v>
      </c>
      <c r="B62" s="1" t="str">
        <f>K62</f>
        <v xml:space="preserve">07 Worship &amp; Arts</v>
      </c>
      <c r="C62" s="1" t="str">
        <f>L62</f>
        <v>.</v>
      </c>
      <c r="D62" s="1" t="s">
        <v>123</v>
      </c>
      <c r="E62" s="8" t="s">
        <v>63</v>
      </c>
      <c r="F62" s="1" t="s">
        <v>64</v>
      </c>
      <c r="G62" s="1" t="s">
        <v>100</v>
      </c>
      <c r="H62" s="1" t="s">
        <v>64</v>
      </c>
      <c r="I62" s="1" t="s">
        <v>104</v>
      </c>
      <c r="J62" s="1" t="s">
        <v>94</v>
      </c>
      <c r="K62" s="1" t="s">
        <v>94</v>
      </c>
      <c r="L62" s="1" t="s">
        <v>22</v>
      </c>
      <c r="M62" s="1" t="s">
        <v>95</v>
      </c>
      <c r="N62" s="1" t="s">
        <v>96</v>
      </c>
      <c r="O62" s="1" t="s">
        <v>97</v>
      </c>
      <c r="P62" s="1" t="e">
        <f t="shared" si="2"/>
        <v>#REF!</v>
      </c>
    </row>
    <row r="63">
      <c r="A63" s="1" t="s">
        <v>91</v>
      </c>
      <c r="B63" s="1" t="str">
        <f>K63</f>
        <v xml:space="preserve">07 Worship &amp; Arts</v>
      </c>
      <c r="C63" s="1" t="str">
        <f>L63</f>
        <v>.</v>
      </c>
      <c r="D63" s="1" t="s">
        <v>124</v>
      </c>
      <c r="E63" s="1" t="s">
        <v>17</v>
      </c>
      <c r="F63" s="1" t="s">
        <v>18</v>
      </c>
      <c r="G63" s="1" t="s">
        <v>100</v>
      </c>
      <c r="H63" s="1" t="s">
        <v>18</v>
      </c>
      <c r="I63" s="1" t="s">
        <v>96</v>
      </c>
      <c r="J63" s="1" t="s">
        <v>94</v>
      </c>
      <c r="K63" s="1" t="s">
        <v>94</v>
      </c>
      <c r="L63" s="1" t="s">
        <v>22</v>
      </c>
      <c r="M63" s="1" t="s">
        <v>95</v>
      </c>
      <c r="N63" s="1" t="s">
        <v>96</v>
      </c>
      <c r="O63" s="1" t="s">
        <v>18</v>
      </c>
      <c r="P63" s="1" t="e">
        <f t="shared" si="2"/>
        <v>#REF!</v>
      </c>
    </row>
    <row r="64">
      <c r="A64" s="1" t="s">
        <v>91</v>
      </c>
      <c r="B64" s="1" t="str">
        <f>K64</f>
        <v xml:space="preserve">07 Worship &amp; Arts</v>
      </c>
      <c r="C64" s="1" t="str">
        <f>L64</f>
        <v>.</v>
      </c>
      <c r="D64" s="1" t="s">
        <v>125</v>
      </c>
      <c r="E64" s="1" t="s">
        <v>17</v>
      </c>
      <c r="F64" s="1" t="s">
        <v>18</v>
      </c>
      <c r="G64" s="1" t="s">
        <v>100</v>
      </c>
      <c r="H64" s="1" t="s">
        <v>18</v>
      </c>
      <c r="I64" s="1" t="s">
        <v>96</v>
      </c>
      <c r="J64" s="1" t="s">
        <v>94</v>
      </c>
      <c r="K64" s="1" t="s">
        <v>94</v>
      </c>
      <c r="L64" s="1" t="s">
        <v>22</v>
      </c>
      <c r="M64" s="1" t="s">
        <v>95</v>
      </c>
      <c r="N64" s="1" t="s">
        <v>96</v>
      </c>
      <c r="O64" s="1" t="s">
        <v>18</v>
      </c>
      <c r="P64" s="1" t="e">
        <f t="shared" si="2"/>
        <v>#REF!</v>
      </c>
    </row>
    <row r="65">
      <c r="A65" s="1" t="s">
        <v>91</v>
      </c>
      <c r="B65" s="1" t="str">
        <f>K65</f>
        <v xml:space="preserve">07 Worship &amp; Arts</v>
      </c>
      <c r="C65" s="1" t="str">
        <f>L65</f>
        <v>.</v>
      </c>
      <c r="D65" s="1" t="s">
        <v>126</v>
      </c>
      <c r="E65" s="1" t="s">
        <v>87</v>
      </c>
      <c r="F65" s="1" t="s">
        <v>18</v>
      </c>
      <c r="G65" s="1" t="s">
        <v>100</v>
      </c>
      <c r="H65" s="1" t="s">
        <v>18</v>
      </c>
      <c r="I65" s="1" t="s">
        <v>96</v>
      </c>
      <c r="J65" s="1" t="s">
        <v>94</v>
      </c>
      <c r="K65" s="1" t="s">
        <v>94</v>
      </c>
      <c r="L65" s="1" t="s">
        <v>22</v>
      </c>
      <c r="M65" s="1" t="s">
        <v>95</v>
      </c>
      <c r="N65" s="1" t="s">
        <v>96</v>
      </c>
      <c r="O65" s="1" t="s">
        <v>18</v>
      </c>
      <c r="P65" s="1" t="e">
        <f t="shared" si="2"/>
        <v>#REF!</v>
      </c>
    </row>
    <row r="66">
      <c r="A66" s="1" t="s">
        <v>91</v>
      </c>
      <c r="B66" s="1" t="str">
        <f>K66</f>
        <v xml:space="preserve">08 Youth Ed</v>
      </c>
      <c r="C66" s="1" t="str">
        <f>L66</f>
        <v>.</v>
      </c>
      <c r="D66" s="10" t="s">
        <v>127</v>
      </c>
      <c r="E66" s="1" t="s">
        <v>17</v>
      </c>
      <c r="F66" s="1" t="s">
        <v>18</v>
      </c>
      <c r="G66" s="1" t="s">
        <v>128</v>
      </c>
      <c r="H66" s="1" t="s">
        <v>18</v>
      </c>
      <c r="I66" s="1" t="s">
        <v>128</v>
      </c>
      <c r="J66" s="1" t="s">
        <v>129</v>
      </c>
      <c r="K66" s="1" t="s">
        <v>129</v>
      </c>
      <c r="L66" s="1" t="s">
        <v>22</v>
      </c>
      <c r="M66" s="1" t="s">
        <v>95</v>
      </c>
      <c r="N66" s="1" t="s">
        <v>128</v>
      </c>
      <c r="O66" s="1" t="s">
        <v>95</v>
      </c>
      <c r="P66" s="1" t="e">
        <f t="shared" si="2"/>
        <v>#REF!</v>
      </c>
    </row>
    <row r="67">
      <c r="A67" s="1" t="s">
        <v>91</v>
      </c>
      <c r="B67" s="1" t="str">
        <f>K67</f>
        <v xml:space="preserve">08 Youth Ed</v>
      </c>
      <c r="C67" s="1" t="str">
        <f>L67</f>
        <v>.</v>
      </c>
      <c r="D67" s="1" t="s">
        <v>130</v>
      </c>
      <c r="E67" s="1" t="s">
        <v>17</v>
      </c>
      <c r="F67" s="1" t="s">
        <v>18</v>
      </c>
      <c r="G67" s="1" t="s">
        <v>128</v>
      </c>
      <c r="H67" s="1" t="s">
        <v>18</v>
      </c>
      <c r="I67" s="1" t="s">
        <v>128</v>
      </c>
      <c r="J67" s="1" t="s">
        <v>129</v>
      </c>
      <c r="K67" s="1" t="s">
        <v>129</v>
      </c>
      <c r="L67" s="1" t="s">
        <v>22</v>
      </c>
      <c r="M67" s="1" t="s">
        <v>95</v>
      </c>
      <c r="N67" s="1" t="s">
        <v>128</v>
      </c>
      <c r="O67" s="1" t="s">
        <v>95</v>
      </c>
      <c r="P67" s="1" t="e">
        <f t="shared" si="2"/>
        <v>#REF!</v>
      </c>
    </row>
    <row r="68">
      <c r="A68" s="1" t="s">
        <v>91</v>
      </c>
      <c r="B68" s="1" t="str">
        <f>K68</f>
        <v xml:space="preserve">08 Youth Ed</v>
      </c>
      <c r="C68" s="1" t="str">
        <f>L68</f>
        <v>.</v>
      </c>
      <c r="D68" s="1" t="s">
        <v>131</v>
      </c>
      <c r="E68" s="1" t="s">
        <v>17</v>
      </c>
      <c r="F68" s="1" t="s">
        <v>18</v>
      </c>
      <c r="G68" s="1" t="s">
        <v>128</v>
      </c>
      <c r="H68" s="1" t="s">
        <v>18</v>
      </c>
      <c r="I68" s="1" t="s">
        <v>128</v>
      </c>
      <c r="J68" s="1" t="s">
        <v>129</v>
      </c>
      <c r="K68" s="1" t="s">
        <v>129</v>
      </c>
      <c r="L68" s="1" t="s">
        <v>22</v>
      </c>
      <c r="M68" s="1" t="s">
        <v>95</v>
      </c>
      <c r="N68" s="1" t="s">
        <v>128</v>
      </c>
      <c r="O68" s="1" t="s">
        <v>95</v>
      </c>
      <c r="P68" s="1" t="e">
        <f t="shared" si="2"/>
        <v>#REF!</v>
      </c>
    </row>
    <row r="69">
      <c r="A69" s="1" t="s">
        <v>91</v>
      </c>
      <c r="B69" s="1" t="str">
        <f>K69</f>
        <v xml:space="preserve">08 Youth Ed</v>
      </c>
      <c r="C69" s="1" t="str">
        <f>L69</f>
        <v>.</v>
      </c>
      <c r="D69" s="1" t="s">
        <v>132</v>
      </c>
      <c r="E69" s="1" t="s">
        <v>17</v>
      </c>
      <c r="F69" s="1" t="s">
        <v>18</v>
      </c>
      <c r="G69" s="1" t="s">
        <v>128</v>
      </c>
      <c r="H69" s="1" t="s">
        <v>18</v>
      </c>
      <c r="I69" s="1" t="s">
        <v>128</v>
      </c>
      <c r="J69" s="1" t="s">
        <v>129</v>
      </c>
      <c r="K69" s="1" t="s">
        <v>129</v>
      </c>
      <c r="L69" s="1" t="s">
        <v>22</v>
      </c>
      <c r="M69" s="1" t="s">
        <v>95</v>
      </c>
      <c r="N69" s="1" t="s">
        <v>128</v>
      </c>
      <c r="O69" s="1" t="s">
        <v>95</v>
      </c>
      <c r="P69" s="1" t="e">
        <f t="shared" si="2"/>
        <v>#REF!</v>
      </c>
    </row>
    <row r="70">
      <c r="A70" s="1" t="s">
        <v>91</v>
      </c>
      <c r="B70" s="1" t="str">
        <f>K70</f>
        <v xml:space="preserve">08 Youth Ed</v>
      </c>
      <c r="C70" s="1" t="str">
        <f>L70</f>
        <v>.</v>
      </c>
      <c r="D70" s="1" t="s">
        <v>133</v>
      </c>
      <c r="E70" s="1" t="s">
        <v>17</v>
      </c>
      <c r="F70" s="1" t="s">
        <v>18</v>
      </c>
      <c r="G70" s="1" t="s">
        <v>128</v>
      </c>
      <c r="H70" s="1" t="s">
        <v>18</v>
      </c>
      <c r="I70" s="1" t="s">
        <v>128</v>
      </c>
      <c r="J70" s="1" t="s">
        <v>129</v>
      </c>
      <c r="K70" s="1" t="s">
        <v>129</v>
      </c>
      <c r="L70" s="1" t="s">
        <v>22</v>
      </c>
      <c r="M70" s="1" t="s">
        <v>95</v>
      </c>
      <c r="N70" s="1" t="s">
        <v>128</v>
      </c>
      <c r="O70" s="1" t="s">
        <v>95</v>
      </c>
      <c r="P70" s="1" t="e">
        <f t="shared" si="2"/>
        <v>#REF!</v>
      </c>
    </row>
    <row r="71">
      <c r="A71" s="1" t="s">
        <v>91</v>
      </c>
      <c r="B71" s="1" t="str">
        <f>K71</f>
        <v xml:space="preserve">08 Youth Ed</v>
      </c>
      <c r="C71" s="1" t="str">
        <f>L71</f>
        <v>.</v>
      </c>
      <c r="D71" s="1" t="s">
        <v>134</v>
      </c>
      <c r="E71" s="1" t="s">
        <v>17</v>
      </c>
      <c r="F71" s="1" t="s">
        <v>18</v>
      </c>
      <c r="G71" s="1" t="s">
        <v>128</v>
      </c>
      <c r="H71" s="1" t="s">
        <v>18</v>
      </c>
      <c r="I71" s="1" t="s">
        <v>128</v>
      </c>
      <c r="J71" s="1" t="s">
        <v>129</v>
      </c>
      <c r="K71" s="1" t="s">
        <v>129</v>
      </c>
      <c r="L71" s="1" t="s">
        <v>22</v>
      </c>
      <c r="M71" s="1" t="s">
        <v>95</v>
      </c>
      <c r="N71" s="1" t="s">
        <v>128</v>
      </c>
      <c r="O71" s="1" t="s">
        <v>95</v>
      </c>
      <c r="P71" s="1" t="e">
        <f t="shared" si="2"/>
        <v>#REF!</v>
      </c>
    </row>
    <row r="72">
      <c r="A72" s="1" t="s">
        <v>91</v>
      </c>
      <c r="B72" s="1" t="str">
        <f>K72</f>
        <v xml:space="preserve">08 Youth Ed</v>
      </c>
      <c r="C72" s="1" t="str">
        <f>L72</f>
        <v>.</v>
      </c>
      <c r="D72" s="1" t="s">
        <v>135</v>
      </c>
      <c r="E72" s="1" t="s">
        <v>17</v>
      </c>
      <c r="F72" s="1" t="s">
        <v>18</v>
      </c>
      <c r="G72" s="1" t="s">
        <v>128</v>
      </c>
      <c r="H72" s="1" t="s">
        <v>18</v>
      </c>
      <c r="I72" s="1" t="s">
        <v>128</v>
      </c>
      <c r="J72" s="1" t="s">
        <v>129</v>
      </c>
      <c r="K72" s="1" t="s">
        <v>129</v>
      </c>
      <c r="L72" s="1" t="s">
        <v>22</v>
      </c>
      <c r="M72" s="1" t="s">
        <v>95</v>
      </c>
      <c r="N72" s="1" t="s">
        <v>128</v>
      </c>
      <c r="O72" s="1" t="s">
        <v>95</v>
      </c>
      <c r="P72" s="1" t="e">
        <f t="shared" si="2"/>
        <v>#REF!</v>
      </c>
    </row>
    <row r="73">
      <c r="A73" s="1" t="s">
        <v>91</v>
      </c>
      <c r="B73" s="1" t="str">
        <f>K73</f>
        <v xml:space="preserve">08 Youth Ed</v>
      </c>
      <c r="C73" s="1" t="str">
        <f>L73</f>
        <v>.</v>
      </c>
      <c r="D73" s="1" t="s">
        <v>136</v>
      </c>
      <c r="E73" s="8" t="s">
        <v>63</v>
      </c>
      <c r="F73" s="1" t="s">
        <v>18</v>
      </c>
      <c r="G73" s="1" t="s">
        <v>128</v>
      </c>
      <c r="H73" s="1" t="s">
        <v>18</v>
      </c>
      <c r="I73" s="1" t="s">
        <v>128</v>
      </c>
      <c r="J73" s="1" t="s">
        <v>129</v>
      </c>
      <c r="K73" s="1" t="s">
        <v>129</v>
      </c>
      <c r="L73" s="1" t="s">
        <v>22</v>
      </c>
      <c r="M73" s="1" t="s">
        <v>95</v>
      </c>
      <c r="N73" s="1" t="s">
        <v>128</v>
      </c>
      <c r="O73" s="1" t="s">
        <v>95</v>
      </c>
      <c r="P73" s="1" t="e">
        <f t="shared" si="2"/>
        <v>#REF!</v>
      </c>
    </row>
    <row r="74">
      <c r="A74" s="1" t="s">
        <v>91</v>
      </c>
      <c r="B74" s="1" t="str">
        <f>K74</f>
        <v xml:space="preserve">08 Youth Ed</v>
      </c>
      <c r="C74" s="1" t="str">
        <f>L74</f>
        <v>.</v>
      </c>
      <c r="D74" s="1" t="s">
        <v>137</v>
      </c>
      <c r="E74" s="1" t="s">
        <v>17</v>
      </c>
      <c r="F74" s="1" t="s">
        <v>18</v>
      </c>
      <c r="G74" s="1" t="s">
        <v>128</v>
      </c>
      <c r="H74" s="1" t="s">
        <v>18</v>
      </c>
      <c r="I74" s="1" t="s">
        <v>128</v>
      </c>
      <c r="J74" s="1" t="s">
        <v>129</v>
      </c>
      <c r="K74" s="1" t="s">
        <v>129</v>
      </c>
      <c r="L74" s="1" t="s">
        <v>22</v>
      </c>
      <c r="M74" s="1" t="s">
        <v>95</v>
      </c>
      <c r="N74" s="1" t="s">
        <v>128</v>
      </c>
      <c r="O74" s="1" t="s">
        <v>95</v>
      </c>
      <c r="P74" s="1" t="e">
        <f t="shared" si="2"/>
        <v>#REF!</v>
      </c>
    </row>
    <row r="75">
      <c r="A75" s="1" t="s">
        <v>91</v>
      </c>
      <c r="B75" s="1" t="str">
        <f>K75</f>
        <v xml:space="preserve">08 Youth Ed</v>
      </c>
      <c r="C75" s="1" t="str">
        <f>L75</f>
        <v>.</v>
      </c>
      <c r="D75" s="1" t="s">
        <v>138</v>
      </c>
      <c r="E75" s="1" t="s">
        <v>139</v>
      </c>
      <c r="F75" s="1" t="s">
        <v>36</v>
      </c>
      <c r="G75" s="1" t="s">
        <v>128</v>
      </c>
      <c r="H75" s="1" t="s">
        <v>140</v>
      </c>
      <c r="I75" s="1" t="s">
        <v>128</v>
      </c>
      <c r="J75" s="1" t="s">
        <v>129</v>
      </c>
      <c r="K75" s="1" t="s">
        <v>129</v>
      </c>
      <c r="L75" s="1" t="s">
        <v>22</v>
      </c>
      <c r="M75" s="1" t="s">
        <v>95</v>
      </c>
      <c r="N75" s="1" t="s">
        <v>128</v>
      </c>
      <c r="O75" s="1" t="s">
        <v>36</v>
      </c>
      <c r="P75" s="1" t="e">
        <f t="shared" si="2"/>
        <v>#REF!</v>
      </c>
    </row>
    <row r="76">
      <c r="A76" s="1" t="s">
        <v>91</v>
      </c>
      <c r="B76" s="1" t="str">
        <f>K76</f>
        <v xml:space="preserve">08 Youth Ed</v>
      </c>
      <c r="C76" s="1" t="str">
        <f>L76</f>
        <v>.</v>
      </c>
      <c r="D76" s="1" t="s">
        <v>141</v>
      </c>
      <c r="E76" s="1" t="s">
        <v>17</v>
      </c>
      <c r="F76" s="1" t="s">
        <v>18</v>
      </c>
      <c r="G76" s="1" t="s">
        <v>128</v>
      </c>
      <c r="H76" s="1" t="s">
        <v>18</v>
      </c>
      <c r="I76" s="1" t="s">
        <v>128</v>
      </c>
      <c r="J76" s="1" t="s">
        <v>129</v>
      </c>
      <c r="K76" s="1" t="s">
        <v>129</v>
      </c>
      <c r="L76" s="1" t="s">
        <v>22</v>
      </c>
      <c r="M76" s="1" t="s">
        <v>95</v>
      </c>
      <c r="N76" s="1" t="s">
        <v>128</v>
      </c>
      <c r="O76" s="1" t="s">
        <v>95</v>
      </c>
      <c r="P76" s="1" t="e">
        <f t="shared" si="2"/>
        <v>#REF!</v>
      </c>
    </row>
    <row r="77">
      <c r="A77" s="1" t="s">
        <v>91</v>
      </c>
      <c r="B77" s="1" t="str">
        <f>K77</f>
        <v xml:space="preserve">08 Youth Ed</v>
      </c>
      <c r="C77" s="1" t="str">
        <f>L77</f>
        <v>.</v>
      </c>
      <c r="D77" s="1" t="s">
        <v>142</v>
      </c>
      <c r="E77" s="1" t="s">
        <v>17</v>
      </c>
      <c r="F77" s="1" t="s">
        <v>18</v>
      </c>
      <c r="G77" s="1" t="s">
        <v>128</v>
      </c>
      <c r="H77" s="1" t="s">
        <v>18</v>
      </c>
      <c r="I77" s="1" t="s">
        <v>128</v>
      </c>
      <c r="J77" s="1" t="s">
        <v>129</v>
      </c>
      <c r="K77" s="1" t="s">
        <v>129</v>
      </c>
      <c r="L77" s="1" t="s">
        <v>22</v>
      </c>
      <c r="M77" s="1" t="s">
        <v>95</v>
      </c>
      <c r="N77" s="1" t="s">
        <v>128</v>
      </c>
      <c r="O77" s="1" t="s">
        <v>95</v>
      </c>
      <c r="P77" s="1" t="e">
        <f t="shared" si="2"/>
        <v>#REF!</v>
      </c>
    </row>
    <row r="78">
      <c r="A78" s="1" t="s">
        <v>91</v>
      </c>
      <c r="B78" s="1" t="str">
        <f>K78</f>
        <v xml:space="preserve">08 Youth Ed</v>
      </c>
      <c r="C78" s="1" t="str">
        <f>L78</f>
        <v>.</v>
      </c>
      <c r="D78" s="1" t="s">
        <v>143</v>
      </c>
      <c r="E78" s="1" t="s">
        <v>17</v>
      </c>
      <c r="F78" s="1" t="s">
        <v>18</v>
      </c>
      <c r="G78" s="1" t="s">
        <v>128</v>
      </c>
      <c r="H78" s="1" t="s">
        <v>18</v>
      </c>
      <c r="I78" s="1" t="s">
        <v>128</v>
      </c>
      <c r="J78" s="1" t="s">
        <v>129</v>
      </c>
      <c r="K78" s="1" t="s">
        <v>129</v>
      </c>
      <c r="L78" s="1" t="s">
        <v>22</v>
      </c>
      <c r="M78" s="1" t="s">
        <v>95</v>
      </c>
      <c r="N78" s="1" t="s">
        <v>128</v>
      </c>
      <c r="O78" s="1" t="s">
        <v>95</v>
      </c>
      <c r="P78" s="1" t="e">
        <f t="shared" si="2"/>
        <v>#REF!</v>
      </c>
    </row>
    <row r="79">
      <c r="A79" s="1" t="s">
        <v>91</v>
      </c>
      <c r="B79" s="1" t="str">
        <f>K79</f>
        <v xml:space="preserve">08 Youth Ed</v>
      </c>
      <c r="C79" s="1" t="str">
        <f>L79</f>
        <v>.</v>
      </c>
      <c r="D79" s="1" t="s">
        <v>144</v>
      </c>
      <c r="E79" s="1" t="s">
        <v>17</v>
      </c>
      <c r="F79" s="1" t="s">
        <v>18</v>
      </c>
      <c r="G79" s="1" t="s">
        <v>128</v>
      </c>
      <c r="H79" s="1" t="s">
        <v>18</v>
      </c>
      <c r="I79" s="1" t="s">
        <v>128</v>
      </c>
      <c r="J79" s="1" t="s">
        <v>129</v>
      </c>
      <c r="K79" s="1" t="s">
        <v>129</v>
      </c>
      <c r="L79" s="1" t="s">
        <v>22</v>
      </c>
      <c r="M79" s="1" t="s">
        <v>95</v>
      </c>
      <c r="N79" s="1" t="s">
        <v>128</v>
      </c>
      <c r="O79" s="1" t="s">
        <v>95</v>
      </c>
      <c r="P79" s="1" t="e">
        <f t="shared" si="2"/>
        <v>#REF!</v>
      </c>
    </row>
    <row r="80">
      <c r="A80" s="1" t="s">
        <v>91</v>
      </c>
      <c r="B80" s="1" t="str">
        <f>K80</f>
        <v xml:space="preserve">08 Youth Ed</v>
      </c>
      <c r="C80" s="1" t="str">
        <f>L80</f>
        <v>.</v>
      </c>
      <c r="D80" s="1" t="s">
        <v>145</v>
      </c>
      <c r="E80" s="1" t="s">
        <v>17</v>
      </c>
      <c r="F80" s="1" t="s">
        <v>18</v>
      </c>
      <c r="G80" s="1" t="s">
        <v>128</v>
      </c>
      <c r="H80" s="1" t="s">
        <v>18</v>
      </c>
      <c r="I80" s="1" t="s">
        <v>128</v>
      </c>
      <c r="J80" s="1" t="s">
        <v>129</v>
      </c>
      <c r="K80" s="1" t="s">
        <v>129</v>
      </c>
      <c r="L80" s="1" t="s">
        <v>22</v>
      </c>
      <c r="M80" s="1" t="s">
        <v>95</v>
      </c>
      <c r="N80" s="1" t="s">
        <v>128</v>
      </c>
      <c r="O80" s="1" t="s">
        <v>95</v>
      </c>
      <c r="P80" s="1" t="e">
        <f t="shared" si="2"/>
        <v>#REF!</v>
      </c>
    </row>
    <row r="81">
      <c r="A81" s="1" t="s">
        <v>91</v>
      </c>
      <c r="B81" s="1" t="str">
        <f>K81</f>
        <v xml:space="preserve">09 M&amp;B</v>
      </c>
      <c r="C81" s="1" t="str">
        <f>L81</f>
        <v>.</v>
      </c>
      <c r="D81" s="1" t="s">
        <v>146</v>
      </c>
      <c r="E81" s="1" t="s">
        <v>74</v>
      </c>
      <c r="F81" s="1" t="s">
        <v>36</v>
      </c>
      <c r="G81" s="1" t="s">
        <v>147</v>
      </c>
      <c r="H81" s="1" t="s">
        <v>148</v>
      </c>
      <c r="I81" s="1" t="s">
        <v>147</v>
      </c>
      <c r="J81" s="1" t="s">
        <v>149</v>
      </c>
      <c r="K81" s="1" t="s">
        <v>149</v>
      </c>
      <c r="L81" s="1" t="s">
        <v>22</v>
      </c>
      <c r="M81" s="1" t="s">
        <v>36</v>
      </c>
      <c r="N81" s="1" t="s">
        <v>147</v>
      </c>
      <c r="O81" s="1" t="s">
        <v>36</v>
      </c>
      <c r="P81" s="1" t="e">
        <f t="shared" si="2"/>
        <v>#REF!</v>
      </c>
    </row>
    <row r="82">
      <c r="A82" s="1" t="s">
        <v>91</v>
      </c>
      <c r="B82" s="1" t="str">
        <f>K82</f>
        <v xml:space="preserve">09 M&amp;B</v>
      </c>
      <c r="C82" s="1" t="str">
        <f>L82</f>
        <v>.</v>
      </c>
      <c r="D82" s="1" t="s">
        <v>150</v>
      </c>
      <c r="E82" s="1" t="s">
        <v>74</v>
      </c>
      <c r="F82" s="1" t="s">
        <v>36</v>
      </c>
      <c r="G82" s="1" t="s">
        <v>147</v>
      </c>
      <c r="H82" s="1" t="s">
        <v>148</v>
      </c>
      <c r="I82" s="1" t="s">
        <v>147</v>
      </c>
      <c r="J82" s="1" t="s">
        <v>149</v>
      </c>
      <c r="K82" s="1" t="s">
        <v>149</v>
      </c>
      <c r="L82" s="1" t="s">
        <v>22</v>
      </c>
      <c r="M82" s="1" t="s">
        <v>36</v>
      </c>
      <c r="N82" s="1" t="s">
        <v>147</v>
      </c>
      <c r="O82" s="1" t="s">
        <v>36</v>
      </c>
      <c r="P82" s="1" t="e">
        <f t="shared" si="2"/>
        <v>#REF!</v>
      </c>
    </row>
    <row r="83">
      <c r="A83" s="1" t="s">
        <v>91</v>
      </c>
      <c r="B83" s="1" t="str">
        <f>K83</f>
        <v xml:space="preserve">09 M&amp;B</v>
      </c>
      <c r="C83" s="1" t="str">
        <f>L83</f>
        <v>.</v>
      </c>
      <c r="D83" s="11" t="s">
        <v>151</v>
      </c>
      <c r="E83" s="1" t="s">
        <v>74</v>
      </c>
      <c r="F83" s="1" t="s">
        <v>36</v>
      </c>
      <c r="G83" s="1" t="s">
        <v>147</v>
      </c>
      <c r="H83" s="1" t="s">
        <v>148</v>
      </c>
      <c r="I83" s="1" t="s">
        <v>147</v>
      </c>
      <c r="J83" s="1" t="s">
        <v>149</v>
      </c>
      <c r="K83" s="1" t="s">
        <v>149</v>
      </c>
      <c r="L83" s="1" t="s">
        <v>22</v>
      </c>
      <c r="M83" s="1" t="s">
        <v>36</v>
      </c>
      <c r="N83" s="1" t="s">
        <v>147</v>
      </c>
      <c r="O83" s="1" t="s">
        <v>36</v>
      </c>
      <c r="P83" s="1" t="e">
        <f t="shared" si="2"/>
        <v>#REF!</v>
      </c>
    </row>
    <row r="84">
      <c r="A84" s="1" t="s">
        <v>91</v>
      </c>
      <c r="B84" s="1" t="str">
        <f>K84</f>
        <v xml:space="preserve">09 M&amp;B</v>
      </c>
      <c r="C84" s="1" t="str">
        <f>L84</f>
        <v>.</v>
      </c>
      <c r="D84" s="1" t="s">
        <v>152</v>
      </c>
      <c r="E84" s="1" t="s">
        <v>74</v>
      </c>
      <c r="F84" s="1" t="s">
        <v>36</v>
      </c>
      <c r="G84" s="1" t="s">
        <v>147</v>
      </c>
      <c r="H84" s="1" t="s">
        <v>148</v>
      </c>
      <c r="I84" s="1" t="s">
        <v>147</v>
      </c>
      <c r="J84" s="1" t="s">
        <v>149</v>
      </c>
      <c r="K84" s="1" t="s">
        <v>149</v>
      </c>
      <c r="L84" s="1" t="s">
        <v>22</v>
      </c>
      <c r="M84" s="1" t="s">
        <v>36</v>
      </c>
      <c r="N84" s="1" t="s">
        <v>147</v>
      </c>
      <c r="O84" s="1" t="s">
        <v>36</v>
      </c>
      <c r="P84" s="1" t="e">
        <f t="shared" si="2"/>
        <v>#REF!</v>
      </c>
    </row>
    <row r="85">
      <c r="A85" s="1" t="s">
        <v>91</v>
      </c>
      <c r="B85" s="1" t="str">
        <f>K85</f>
        <v xml:space="preserve">09 M&amp;B</v>
      </c>
      <c r="C85" s="1" t="str">
        <f>L85</f>
        <v>.</v>
      </c>
      <c r="D85" s="1" t="s">
        <v>153</v>
      </c>
      <c r="E85" s="1" t="s">
        <v>74</v>
      </c>
      <c r="F85" s="1" t="s">
        <v>36</v>
      </c>
      <c r="G85" s="1" t="s">
        <v>147</v>
      </c>
      <c r="H85" s="1" t="s">
        <v>148</v>
      </c>
      <c r="I85" s="1" t="s">
        <v>147</v>
      </c>
      <c r="J85" s="1" t="s">
        <v>149</v>
      </c>
      <c r="K85" s="1" t="s">
        <v>149</v>
      </c>
      <c r="L85" s="1" t="s">
        <v>22</v>
      </c>
      <c r="M85" s="1" t="s">
        <v>36</v>
      </c>
      <c r="N85" s="1" t="s">
        <v>147</v>
      </c>
      <c r="O85" s="1" t="s">
        <v>36</v>
      </c>
      <c r="P85" s="1" t="e">
        <f t="shared" si="2"/>
        <v>#REF!</v>
      </c>
    </row>
    <row r="86">
      <c r="A86" s="1" t="s">
        <v>91</v>
      </c>
      <c r="B86" s="1" t="str">
        <f>K86</f>
        <v xml:space="preserve">09 M&amp;B</v>
      </c>
      <c r="C86" s="1" t="str">
        <f>L86</f>
        <v>.</v>
      </c>
      <c r="D86" s="1" t="s">
        <v>154</v>
      </c>
      <c r="E86" s="1" t="s">
        <v>74</v>
      </c>
      <c r="F86" s="1" t="s">
        <v>36</v>
      </c>
      <c r="G86" s="1" t="s">
        <v>147</v>
      </c>
      <c r="H86" s="1" t="s">
        <v>148</v>
      </c>
      <c r="I86" s="1" t="s">
        <v>147</v>
      </c>
      <c r="J86" s="1" t="s">
        <v>149</v>
      </c>
      <c r="K86" s="1" t="s">
        <v>149</v>
      </c>
      <c r="L86" s="1" t="s">
        <v>22</v>
      </c>
      <c r="M86" s="1" t="s">
        <v>36</v>
      </c>
      <c r="N86" s="1" t="s">
        <v>147</v>
      </c>
      <c r="O86" s="1" t="s">
        <v>36</v>
      </c>
      <c r="P86" s="1" t="e">
        <f t="shared" si="2"/>
        <v>#REF!</v>
      </c>
    </row>
    <row r="87">
      <c r="A87" s="1" t="s">
        <v>91</v>
      </c>
      <c r="B87" s="1" t="str">
        <f>K87</f>
        <v xml:space="preserve">09 M&amp;B</v>
      </c>
      <c r="C87" s="1" t="str">
        <f>L87</f>
        <v>.</v>
      </c>
      <c r="D87" s="1" t="s">
        <v>155</v>
      </c>
      <c r="E87" s="1" t="s">
        <v>74</v>
      </c>
      <c r="F87" s="1" t="s">
        <v>36</v>
      </c>
      <c r="G87" s="1" t="s">
        <v>147</v>
      </c>
      <c r="H87" s="1" t="s">
        <v>148</v>
      </c>
      <c r="I87" s="1" t="s">
        <v>147</v>
      </c>
      <c r="J87" s="1" t="s">
        <v>149</v>
      </c>
      <c r="K87" s="1" t="s">
        <v>149</v>
      </c>
      <c r="L87" s="1" t="s">
        <v>22</v>
      </c>
      <c r="M87" s="1" t="s">
        <v>36</v>
      </c>
      <c r="N87" s="1" t="s">
        <v>147</v>
      </c>
      <c r="O87" s="1" t="s">
        <v>36</v>
      </c>
      <c r="P87" s="1" t="e">
        <f t="shared" si="2"/>
        <v>#REF!</v>
      </c>
    </row>
    <row r="88">
      <c r="A88" s="1" t="s">
        <v>91</v>
      </c>
      <c r="B88" s="1" t="str">
        <f>K88</f>
        <v xml:space="preserve">09 M&amp;B</v>
      </c>
      <c r="C88" s="1" t="str">
        <f>L88</f>
        <v>.</v>
      </c>
      <c r="D88" s="1" t="s">
        <v>156</v>
      </c>
      <c r="E88" s="1" t="s">
        <v>74</v>
      </c>
      <c r="F88" s="1" t="s">
        <v>36</v>
      </c>
      <c r="G88" s="1" t="s">
        <v>147</v>
      </c>
      <c r="H88" s="1" t="s">
        <v>148</v>
      </c>
      <c r="I88" s="1" t="s">
        <v>147</v>
      </c>
      <c r="J88" s="1" t="s">
        <v>149</v>
      </c>
      <c r="K88" s="1" t="s">
        <v>149</v>
      </c>
      <c r="L88" s="1" t="s">
        <v>22</v>
      </c>
      <c r="M88" s="1" t="s">
        <v>36</v>
      </c>
      <c r="N88" s="1" t="s">
        <v>147</v>
      </c>
      <c r="O88" s="1" t="s">
        <v>36</v>
      </c>
      <c r="P88" s="1" t="e">
        <f t="shared" si="2"/>
        <v>#REF!</v>
      </c>
    </row>
    <row r="89">
      <c r="A89" s="1" t="s">
        <v>91</v>
      </c>
      <c r="B89" s="1" t="str">
        <f>K89</f>
        <v xml:space="preserve">09 M&amp;B</v>
      </c>
      <c r="C89" s="1" t="str">
        <f>L89</f>
        <v>.</v>
      </c>
      <c r="D89" s="1" t="s">
        <v>157</v>
      </c>
      <c r="E89" s="1" t="s">
        <v>74</v>
      </c>
      <c r="F89" s="1" t="s">
        <v>36</v>
      </c>
      <c r="G89" s="1" t="s">
        <v>147</v>
      </c>
      <c r="H89" s="1" t="s">
        <v>148</v>
      </c>
      <c r="I89" s="1" t="s">
        <v>147</v>
      </c>
      <c r="J89" s="1" t="s">
        <v>149</v>
      </c>
      <c r="K89" s="1" t="s">
        <v>149</v>
      </c>
      <c r="L89" s="1" t="s">
        <v>22</v>
      </c>
      <c r="M89" s="1" t="s">
        <v>36</v>
      </c>
      <c r="N89" s="1" t="s">
        <v>147</v>
      </c>
      <c r="O89" s="1" t="s">
        <v>36</v>
      </c>
      <c r="P89" s="1" t="e">
        <f t="shared" si="2"/>
        <v>#REF!</v>
      </c>
    </row>
    <row r="90">
      <c r="A90" s="1" t="s">
        <v>91</v>
      </c>
      <c r="B90" s="1" t="str">
        <f>K90</f>
        <v xml:space="preserve">09 M&amp;B</v>
      </c>
      <c r="C90" s="1" t="str">
        <f>L90</f>
        <v>.</v>
      </c>
      <c r="D90" s="1" t="s">
        <v>158</v>
      </c>
      <c r="E90" t="s">
        <v>27</v>
      </c>
      <c r="F90" s="1" t="s">
        <v>36</v>
      </c>
      <c r="G90" s="1" t="s">
        <v>147</v>
      </c>
      <c r="H90" s="1" t="s">
        <v>159</v>
      </c>
      <c r="I90" s="1" t="s">
        <v>147</v>
      </c>
      <c r="J90" s="1" t="s">
        <v>149</v>
      </c>
      <c r="K90" s="1" t="s">
        <v>149</v>
      </c>
      <c r="L90" s="1" t="s">
        <v>22</v>
      </c>
      <c r="M90" s="1" t="s">
        <v>36</v>
      </c>
      <c r="N90" s="1" t="s">
        <v>147</v>
      </c>
      <c r="O90" s="1" t="s">
        <v>36</v>
      </c>
      <c r="P90" s="1" t="e">
        <f t="shared" si="2"/>
        <v>#REF!</v>
      </c>
    </row>
    <row r="91">
      <c r="A91" s="1" t="s">
        <v>91</v>
      </c>
      <c r="B91" s="1" t="str">
        <f>K91</f>
        <v xml:space="preserve">09 M&amp;B</v>
      </c>
      <c r="C91" s="1" t="str">
        <f>L91</f>
        <v>.</v>
      </c>
      <c r="D91" s="1" t="s">
        <v>160</v>
      </c>
      <c r="E91" s="1" t="s">
        <v>68</v>
      </c>
      <c r="F91" s="1" t="s">
        <v>36</v>
      </c>
      <c r="G91" s="1" t="s">
        <v>70</v>
      </c>
      <c r="H91" s="1" t="s">
        <v>161</v>
      </c>
      <c r="I91" s="1" t="s">
        <v>70</v>
      </c>
      <c r="J91" s="1" t="s">
        <v>149</v>
      </c>
      <c r="K91" s="1" t="s">
        <v>149</v>
      </c>
      <c r="L91" s="1" t="s">
        <v>22</v>
      </c>
      <c r="M91" s="1" t="s">
        <v>36</v>
      </c>
      <c r="N91" s="1" t="s">
        <v>147</v>
      </c>
      <c r="O91" s="1" t="s">
        <v>36</v>
      </c>
      <c r="P91" s="1" t="e">
        <f t="shared" si="2"/>
        <v>#REF!</v>
      </c>
    </row>
    <row r="92">
      <c r="A92" s="1" t="s">
        <v>91</v>
      </c>
      <c r="B92" s="1" t="str">
        <f>K92</f>
        <v xml:space="preserve">09 M&amp;B</v>
      </c>
      <c r="C92" s="1" t="str">
        <f>L92</f>
        <v>.</v>
      </c>
      <c r="D92" t="s">
        <v>162</v>
      </c>
      <c r="E92" t="s">
        <v>27</v>
      </c>
      <c r="F92" s="1" t="s">
        <v>36</v>
      </c>
      <c r="G92" s="1" t="s">
        <v>147</v>
      </c>
      <c r="H92" s="1" t="s">
        <v>148</v>
      </c>
      <c r="I92" s="1" t="s">
        <v>147</v>
      </c>
      <c r="J92" s="1" t="s">
        <v>149</v>
      </c>
      <c r="K92" s="1" t="s">
        <v>149</v>
      </c>
      <c r="L92" s="1" t="s">
        <v>22</v>
      </c>
      <c r="M92" s="1" t="s">
        <v>36</v>
      </c>
      <c r="N92" s="1" t="s">
        <v>147</v>
      </c>
      <c r="O92" s="1" t="s">
        <v>36</v>
      </c>
      <c r="P92" s="1" t="e">
        <f t="shared" si="2"/>
        <v>#REF!</v>
      </c>
    </row>
    <row r="93">
      <c r="A93" s="1" t="s">
        <v>91</v>
      </c>
      <c r="B93" s="1" t="str">
        <f>K93</f>
        <v xml:space="preserve">10 Covenant Fund</v>
      </c>
      <c r="C93" s="1" t="str">
        <f>L93</f>
        <v>.</v>
      </c>
      <c r="D93" s="1" t="s">
        <v>163</v>
      </c>
      <c r="E93" s="1" t="s">
        <v>74</v>
      </c>
      <c r="F93" s="1" t="s">
        <v>36</v>
      </c>
      <c r="G93" s="1" t="s">
        <v>147</v>
      </c>
      <c r="H93" s="1" t="s">
        <v>148</v>
      </c>
      <c r="I93" s="1" t="s">
        <v>147</v>
      </c>
      <c r="J93" s="1" t="s">
        <v>164</v>
      </c>
      <c r="K93" s="1" t="s">
        <v>164</v>
      </c>
      <c r="L93" s="1" t="s">
        <v>22</v>
      </c>
      <c r="M93" s="1" t="s">
        <v>36</v>
      </c>
      <c r="N93" s="1" t="s">
        <v>30</v>
      </c>
      <c r="O93" s="1" t="s">
        <v>36</v>
      </c>
      <c r="P93" s="1" t="e">
        <f t="shared" si="2"/>
        <v>#REF!</v>
      </c>
    </row>
    <row r="94">
      <c r="A94" s="1" t="s">
        <v>91</v>
      </c>
      <c r="B94" s="1" t="str">
        <f>K94</f>
        <v xml:space="preserve">10 Covenant Fund</v>
      </c>
      <c r="C94" s="1" t="str">
        <f>L94</f>
        <v>.</v>
      </c>
      <c r="D94" t="s">
        <v>165</v>
      </c>
      <c r="E94" s="1" t="s">
        <v>74</v>
      </c>
      <c r="F94" s="1" t="s">
        <v>36</v>
      </c>
      <c r="G94" s="1" t="s">
        <v>147</v>
      </c>
      <c r="H94" s="1" t="s">
        <v>148</v>
      </c>
      <c r="I94" s="1" t="s">
        <v>147</v>
      </c>
      <c r="J94" s="1" t="s">
        <v>164</v>
      </c>
      <c r="K94" s="1" t="s">
        <v>164</v>
      </c>
      <c r="L94" s="1" t="s">
        <v>22</v>
      </c>
      <c r="M94" s="1" t="s">
        <v>36</v>
      </c>
      <c r="N94" s="1" t="s">
        <v>30</v>
      </c>
      <c r="O94" s="1" t="s">
        <v>36</v>
      </c>
      <c r="P94" s="1" t="e">
        <f t="shared" si="2"/>
        <v>#REF!</v>
      </c>
    </row>
    <row r="95">
      <c r="A95" s="1" t="s">
        <v>91</v>
      </c>
      <c r="B95" s="1" t="str">
        <f>K95</f>
        <v xml:space="preserve">10 Covenant Fund</v>
      </c>
      <c r="C95" s="1" t="str">
        <f>L95</f>
        <v>.</v>
      </c>
      <c r="D95" s="1" t="s">
        <v>166</v>
      </c>
      <c r="E95" s="1" t="s">
        <v>74</v>
      </c>
      <c r="F95" s="1" t="s">
        <v>36</v>
      </c>
      <c r="G95" s="1" t="s">
        <v>147</v>
      </c>
      <c r="H95" s="1" t="s">
        <v>148</v>
      </c>
      <c r="I95" s="1" t="s">
        <v>147</v>
      </c>
      <c r="J95" s="1" t="s">
        <v>164</v>
      </c>
      <c r="K95" s="1" t="s">
        <v>164</v>
      </c>
      <c r="L95" s="1" t="s">
        <v>22</v>
      </c>
      <c r="M95" s="1" t="s">
        <v>36</v>
      </c>
      <c r="N95" s="1" t="s">
        <v>30</v>
      </c>
      <c r="O95" s="1" t="s">
        <v>36</v>
      </c>
      <c r="P95" s="1" t="e">
        <f t="shared" si="2"/>
        <v>#REF!</v>
      </c>
    </row>
    <row r="96">
      <c r="A96" s="1" t="s">
        <v>91</v>
      </c>
      <c r="B96" s="1" t="str">
        <f>K96</f>
        <v xml:space="preserve">10 Covenant Fund</v>
      </c>
      <c r="C96" s="1" t="str">
        <f>L96</f>
        <v>.</v>
      </c>
      <c r="D96" t="s">
        <v>167</v>
      </c>
      <c r="E96" s="1" t="s">
        <v>74</v>
      </c>
      <c r="F96" s="1" t="s">
        <v>36</v>
      </c>
      <c r="G96" s="1" t="s">
        <v>147</v>
      </c>
      <c r="H96" s="1" t="s">
        <v>148</v>
      </c>
      <c r="I96" s="1" t="s">
        <v>147</v>
      </c>
      <c r="J96" s="1" t="s">
        <v>164</v>
      </c>
      <c r="K96" s="1" t="s">
        <v>164</v>
      </c>
      <c r="L96" s="1" t="s">
        <v>22</v>
      </c>
      <c r="M96" s="1" t="s">
        <v>36</v>
      </c>
      <c r="N96" s="1" t="s">
        <v>30</v>
      </c>
      <c r="O96" s="1" t="s">
        <v>36</v>
      </c>
      <c r="P96" s="1" t="e">
        <f t="shared" ref="P96:P99" si="3">IF(B96=B95,P95,P95+1)</f>
        <v>#REF!</v>
      </c>
    </row>
    <row r="97">
      <c r="A97" s="1" t="s">
        <v>91</v>
      </c>
      <c r="B97" s="1" t="str">
        <f>K97</f>
        <v xml:space="preserve">10 Covenant Fund</v>
      </c>
      <c r="C97" s="1" t="str">
        <f>L97</f>
        <v>.</v>
      </c>
      <c r="D97" s="1" t="s">
        <v>168</v>
      </c>
      <c r="E97" s="1" t="s">
        <v>139</v>
      </c>
      <c r="F97" s="1" t="s">
        <v>36</v>
      </c>
      <c r="G97" s="1" t="s">
        <v>147</v>
      </c>
      <c r="H97" s="1" t="s">
        <v>140</v>
      </c>
      <c r="I97" s="1" t="s">
        <v>147</v>
      </c>
      <c r="J97" s="1" t="s">
        <v>164</v>
      </c>
      <c r="K97" s="1" t="s">
        <v>164</v>
      </c>
      <c r="L97" s="1" t="s">
        <v>22</v>
      </c>
      <c r="M97" s="1" t="s">
        <v>36</v>
      </c>
      <c r="N97" s="1" t="s">
        <v>30</v>
      </c>
      <c r="O97" s="1" t="s">
        <v>36</v>
      </c>
      <c r="P97" s="1" t="e">
        <f t="shared" si="3"/>
        <v>#REF!</v>
      </c>
    </row>
    <row r="98">
      <c r="A98" s="1" t="s">
        <v>91</v>
      </c>
      <c r="B98" s="1" t="str">
        <f>K98</f>
        <v xml:space="preserve">10 Covenant Fund</v>
      </c>
      <c r="C98" s="1" t="str">
        <f>L98</f>
        <v>.</v>
      </c>
      <c r="D98" s="1" t="s">
        <v>169</v>
      </c>
      <c r="E98" s="1" t="s">
        <v>74</v>
      </c>
      <c r="F98" s="1" t="s">
        <v>36</v>
      </c>
      <c r="G98" s="1" t="s">
        <v>147</v>
      </c>
      <c r="H98" s="1" t="s">
        <v>148</v>
      </c>
      <c r="I98" s="1" t="s">
        <v>147</v>
      </c>
      <c r="J98" s="1" t="s">
        <v>164</v>
      </c>
      <c r="K98" s="1" t="s">
        <v>164</v>
      </c>
      <c r="L98" s="1" t="s">
        <v>22</v>
      </c>
      <c r="M98" s="1" t="s">
        <v>36</v>
      </c>
      <c r="N98" s="1" t="s">
        <v>30</v>
      </c>
      <c r="O98" s="1" t="s">
        <v>36</v>
      </c>
      <c r="P98" s="1" t="e">
        <f t="shared" si="3"/>
        <v>#REF!</v>
      </c>
    </row>
    <row r="99">
      <c r="A99" s="1" t="s">
        <v>91</v>
      </c>
      <c r="B99" s="1" t="str">
        <f>K99</f>
        <v xml:space="preserve">10 Covenant Fund</v>
      </c>
      <c r="C99" s="1" t="str">
        <f>L99</f>
        <v>.</v>
      </c>
      <c r="D99" s="1" t="s">
        <v>170</v>
      </c>
      <c r="E99" s="1" t="s">
        <v>74</v>
      </c>
      <c r="F99" s="1" t="s">
        <v>36</v>
      </c>
      <c r="G99" s="1" t="s">
        <v>147</v>
      </c>
      <c r="H99" s="1" t="s">
        <v>148</v>
      </c>
      <c r="I99" s="1" t="s">
        <v>147</v>
      </c>
      <c r="J99" s="1" t="s">
        <v>164</v>
      </c>
      <c r="K99" s="1" t="s">
        <v>164</v>
      </c>
      <c r="L99" s="1" t="s">
        <v>22</v>
      </c>
      <c r="M99" s="1" t="s">
        <v>36</v>
      </c>
      <c r="N99" s="1" t="s">
        <v>30</v>
      </c>
      <c r="O99" s="1" t="s">
        <v>36</v>
      </c>
      <c r="P99" s="1" t="e">
        <f t="shared" si="3"/>
        <v>#REF!</v>
      </c>
    </row>
    <row r="100">
      <c r="A100" s="1" t="s">
        <v>91</v>
      </c>
      <c r="B100" s="1" t="str">
        <f>K100</f>
        <v xml:space="preserve">10 Covenant Fund</v>
      </c>
      <c r="C100" s="1" t="str">
        <f>L100</f>
        <v>.</v>
      </c>
      <c r="D100" s="1" t="s">
        <v>171</v>
      </c>
      <c r="E100" s="1" t="s">
        <v>74</v>
      </c>
      <c r="F100" s="1" t="s">
        <v>36</v>
      </c>
      <c r="G100" s="1" t="s">
        <v>147</v>
      </c>
      <c r="H100" s="1" t="s">
        <v>148</v>
      </c>
      <c r="I100" s="1" t="s">
        <v>147</v>
      </c>
      <c r="J100" s="1" t="s">
        <v>164</v>
      </c>
      <c r="K100" s="1" t="s">
        <v>164</v>
      </c>
      <c r="L100" s="1" t="s">
        <v>22</v>
      </c>
      <c r="M100" s="1" t="s">
        <v>36</v>
      </c>
      <c r="N100" s="1" t="s">
        <v>30</v>
      </c>
      <c r="O100" s="1" t="s">
        <v>36</v>
      </c>
      <c r="P100" s="1" t="e">
        <f>IF(B100=B99,P99,P99+1)</f>
        <v>#REF!</v>
      </c>
    </row>
    <row r="101">
      <c r="A101" s="1" t="s">
        <v>91</v>
      </c>
      <c r="B101" s="1" t="str">
        <f>K101</f>
        <v xml:space="preserve">11 Adult Ed</v>
      </c>
      <c r="C101" s="1" t="str">
        <f>L101</f>
        <v>.</v>
      </c>
      <c r="D101" s="1" t="s">
        <v>172</v>
      </c>
      <c r="E101" s="1" t="s">
        <v>17</v>
      </c>
      <c r="F101" s="1" t="s">
        <v>18</v>
      </c>
      <c r="G101" s="1" t="s">
        <v>173</v>
      </c>
      <c r="H101" s="1" t="s">
        <v>18</v>
      </c>
      <c r="I101" s="1" t="s">
        <v>173</v>
      </c>
      <c r="J101" s="1" t="s">
        <v>174</v>
      </c>
      <c r="K101" s="1" t="s">
        <v>174</v>
      </c>
      <c r="L101" s="1" t="s">
        <v>22</v>
      </c>
      <c r="M101" s="1" t="s">
        <v>95</v>
      </c>
      <c r="N101" s="1" t="s">
        <v>173</v>
      </c>
      <c r="O101" s="1" t="s">
        <v>95</v>
      </c>
      <c r="P101" s="1" t="e">
        <f t="shared" ref="P101:P121" si="4">IF(B101=B100,P100,P100+1)</f>
        <v>#REF!</v>
      </c>
    </row>
    <row r="102">
      <c r="A102" s="1" t="s">
        <v>91</v>
      </c>
      <c r="B102" s="1" t="str">
        <f>K102</f>
        <v xml:space="preserve">11 Adult Ed</v>
      </c>
      <c r="C102" s="1" t="str">
        <f>L102</f>
        <v>.</v>
      </c>
      <c r="D102" s="1" t="s">
        <v>175</v>
      </c>
      <c r="E102" s="1" t="s">
        <v>17</v>
      </c>
      <c r="F102" s="1" t="s">
        <v>18</v>
      </c>
      <c r="G102" s="1" t="s">
        <v>173</v>
      </c>
      <c r="H102" s="1" t="s">
        <v>18</v>
      </c>
      <c r="I102" s="1" t="s">
        <v>173</v>
      </c>
      <c r="J102" s="1" t="s">
        <v>174</v>
      </c>
      <c r="K102" s="1" t="s">
        <v>174</v>
      </c>
      <c r="L102" s="1" t="s">
        <v>22</v>
      </c>
      <c r="M102" s="1" t="s">
        <v>95</v>
      </c>
      <c r="N102" s="1" t="s">
        <v>173</v>
      </c>
      <c r="O102" s="1" t="s">
        <v>95</v>
      </c>
      <c r="P102" s="1" t="e">
        <f t="shared" si="4"/>
        <v>#REF!</v>
      </c>
    </row>
    <row r="103">
      <c r="A103" s="1" t="s">
        <v>91</v>
      </c>
      <c r="B103" s="1" t="str">
        <f>K103</f>
        <v xml:space="preserve">11 Adult Ed</v>
      </c>
      <c r="C103" s="1" t="str">
        <f>L103</f>
        <v>.</v>
      </c>
      <c r="D103" t="s">
        <v>176</v>
      </c>
      <c r="E103" s="1" t="s">
        <v>27</v>
      </c>
      <c r="F103" s="1" t="s">
        <v>18</v>
      </c>
      <c r="G103" s="1" t="s">
        <v>173</v>
      </c>
      <c r="H103" s="1" t="s">
        <v>18</v>
      </c>
      <c r="I103" s="1" t="s">
        <v>173</v>
      </c>
      <c r="J103" s="1" t="s">
        <v>174</v>
      </c>
      <c r="K103" s="1" t="s">
        <v>174</v>
      </c>
      <c r="L103" s="1" t="s">
        <v>22</v>
      </c>
      <c r="M103" s="1" t="s">
        <v>95</v>
      </c>
      <c r="N103" s="1" t="s">
        <v>173</v>
      </c>
      <c r="O103" s="1" t="s">
        <v>95</v>
      </c>
      <c r="P103" s="1" t="e">
        <f t="shared" si="4"/>
        <v>#REF!</v>
      </c>
    </row>
    <row r="104">
      <c r="A104" s="1" t="s">
        <v>91</v>
      </c>
      <c r="B104" s="1" t="str">
        <f>K104</f>
        <v xml:space="preserve">11 Adult Ed</v>
      </c>
      <c r="C104" s="1" t="str">
        <f>L104</f>
        <v>.</v>
      </c>
      <c r="D104" s="1" t="s">
        <v>177</v>
      </c>
      <c r="E104" s="1" t="s">
        <v>17</v>
      </c>
      <c r="F104" s="1" t="s">
        <v>18</v>
      </c>
      <c r="G104" s="1" t="s">
        <v>173</v>
      </c>
      <c r="H104" s="1" t="s">
        <v>18</v>
      </c>
      <c r="I104" s="1" t="s">
        <v>173</v>
      </c>
      <c r="J104" s="1" t="s">
        <v>174</v>
      </c>
      <c r="K104" s="1" t="s">
        <v>174</v>
      </c>
      <c r="L104" s="1" t="s">
        <v>22</v>
      </c>
      <c r="M104" s="1" t="s">
        <v>95</v>
      </c>
      <c r="N104" s="1" t="s">
        <v>173</v>
      </c>
      <c r="O104" s="1" t="s">
        <v>95</v>
      </c>
      <c r="P104" s="1" t="e">
        <f t="shared" si="4"/>
        <v>#REF!</v>
      </c>
    </row>
    <row r="105">
      <c r="A105" s="1" t="s">
        <v>91</v>
      </c>
      <c r="B105" s="1" t="str">
        <f>K105</f>
        <v xml:space="preserve">11 Adult Ed</v>
      </c>
      <c r="C105" s="1" t="str">
        <f>L105</f>
        <v>.</v>
      </c>
      <c r="D105" s="4" t="s">
        <v>178</v>
      </c>
      <c r="E105" s="1" t="s">
        <v>17</v>
      </c>
      <c r="F105" s="1" t="s">
        <v>18</v>
      </c>
      <c r="G105" s="1" t="s">
        <v>173</v>
      </c>
      <c r="H105" s="1" t="s">
        <v>18</v>
      </c>
      <c r="I105" s="1" t="s">
        <v>173</v>
      </c>
      <c r="J105" s="1" t="s">
        <v>174</v>
      </c>
      <c r="K105" s="1" t="s">
        <v>174</v>
      </c>
      <c r="L105" s="1" t="s">
        <v>22</v>
      </c>
      <c r="M105" s="1" t="s">
        <v>95</v>
      </c>
      <c r="N105" s="1" t="s">
        <v>173</v>
      </c>
      <c r="O105" s="1" t="s">
        <v>95</v>
      </c>
      <c r="P105" s="1" t="e">
        <f t="shared" si="4"/>
        <v>#REF!</v>
      </c>
    </row>
    <row r="106" ht="14.25">
      <c r="A106" s="1" t="s">
        <v>91</v>
      </c>
      <c r="B106" s="1" t="str">
        <f>K106</f>
        <v xml:space="preserve">11 Adult Ed</v>
      </c>
      <c r="C106" s="1" t="str">
        <f>L106</f>
        <v>.</v>
      </c>
      <c r="D106" s="12" t="s">
        <v>179</v>
      </c>
      <c r="E106" s="1" t="s">
        <v>17</v>
      </c>
      <c r="F106" s="1" t="s">
        <v>18</v>
      </c>
      <c r="G106" s="1" t="s">
        <v>173</v>
      </c>
      <c r="H106" s="1" t="s">
        <v>18</v>
      </c>
      <c r="I106" s="1" t="s">
        <v>173</v>
      </c>
      <c r="J106" s="1" t="s">
        <v>174</v>
      </c>
      <c r="K106" s="1" t="s">
        <v>174</v>
      </c>
      <c r="L106" s="1" t="s">
        <v>22</v>
      </c>
      <c r="M106" s="1" t="s">
        <v>95</v>
      </c>
      <c r="N106" s="1" t="s">
        <v>173</v>
      </c>
      <c r="O106" s="1" t="s">
        <v>95</v>
      </c>
      <c r="P106" s="1" t="e">
        <f t="shared" si="4"/>
        <v>#REF!</v>
      </c>
    </row>
    <row r="107">
      <c r="A107" s="1" t="s">
        <v>91</v>
      </c>
      <c r="B107" s="1" t="str">
        <f>K107</f>
        <v xml:space="preserve">11 Adult Ed</v>
      </c>
      <c r="C107" s="1" t="str">
        <f>L107</f>
        <v>.</v>
      </c>
      <c r="D107" s="1" t="s">
        <v>180</v>
      </c>
      <c r="E107" s="1" t="s">
        <v>17</v>
      </c>
      <c r="F107" s="1" t="s">
        <v>18</v>
      </c>
      <c r="G107" s="1" t="s">
        <v>173</v>
      </c>
      <c r="H107" s="1" t="s">
        <v>18</v>
      </c>
      <c r="I107" s="1" t="s">
        <v>173</v>
      </c>
      <c r="J107" s="1" t="s">
        <v>174</v>
      </c>
      <c r="K107" s="1" t="s">
        <v>174</v>
      </c>
      <c r="L107" s="1" t="s">
        <v>22</v>
      </c>
      <c r="M107" s="1" t="s">
        <v>95</v>
      </c>
      <c r="N107" s="1" t="s">
        <v>173</v>
      </c>
      <c r="O107" s="1" t="s">
        <v>95</v>
      </c>
      <c r="P107" s="1" t="e">
        <f t="shared" si="4"/>
        <v>#REF!</v>
      </c>
    </row>
    <row r="108">
      <c r="A108" s="1" t="s">
        <v>91</v>
      </c>
      <c r="B108" s="1" t="str">
        <f>K108</f>
        <v xml:space="preserve">11 Adult Ed</v>
      </c>
      <c r="C108" s="1" t="str">
        <f>L108</f>
        <v>.</v>
      </c>
      <c r="D108" s="1" t="s">
        <v>181</v>
      </c>
      <c r="E108" s="1" t="s">
        <v>17</v>
      </c>
      <c r="F108" s="1" t="s">
        <v>18</v>
      </c>
      <c r="G108" s="1" t="s">
        <v>173</v>
      </c>
      <c r="H108" s="1" t="s">
        <v>18</v>
      </c>
      <c r="I108" s="1" t="s">
        <v>173</v>
      </c>
      <c r="J108" s="1" t="s">
        <v>174</v>
      </c>
      <c r="K108" s="1" t="s">
        <v>174</v>
      </c>
      <c r="L108" s="1" t="s">
        <v>22</v>
      </c>
      <c r="M108" s="1" t="s">
        <v>95</v>
      </c>
      <c r="N108" s="1" t="s">
        <v>173</v>
      </c>
      <c r="O108" s="1" t="s">
        <v>95</v>
      </c>
      <c r="P108" s="1" t="e">
        <f t="shared" si="4"/>
        <v>#REF!</v>
      </c>
    </row>
    <row r="109">
      <c r="A109" s="1" t="s">
        <v>91</v>
      </c>
      <c r="B109" s="1" t="str">
        <f>K109</f>
        <v xml:space="preserve">11 Adult Ed</v>
      </c>
      <c r="C109" s="1" t="str">
        <f>L109</f>
        <v>.</v>
      </c>
      <c r="D109" s="1" t="s">
        <v>182</v>
      </c>
      <c r="E109" s="1" t="s">
        <v>17</v>
      </c>
      <c r="F109" s="1" t="s">
        <v>18</v>
      </c>
      <c r="G109" s="1" t="s">
        <v>173</v>
      </c>
      <c r="H109" s="1" t="s">
        <v>18</v>
      </c>
      <c r="I109" s="1" t="s">
        <v>173</v>
      </c>
      <c r="J109" s="1" t="s">
        <v>174</v>
      </c>
      <c r="K109" s="1" t="s">
        <v>174</v>
      </c>
      <c r="L109" s="1" t="s">
        <v>22</v>
      </c>
      <c r="M109" s="1" t="s">
        <v>95</v>
      </c>
      <c r="N109" s="1" t="s">
        <v>173</v>
      </c>
      <c r="O109" s="1" t="s">
        <v>95</v>
      </c>
      <c r="P109" s="1" t="e">
        <f t="shared" si="4"/>
        <v>#REF!</v>
      </c>
    </row>
    <row r="110">
      <c r="A110" s="1" t="s">
        <v>91</v>
      </c>
      <c r="B110" s="1" t="str">
        <f>K110</f>
        <v xml:space="preserve">11 Adult Ed</v>
      </c>
      <c r="C110" s="1" t="str">
        <f>L110</f>
        <v>.</v>
      </c>
      <c r="D110" s="1" t="s">
        <v>183</v>
      </c>
      <c r="E110" s="1" t="s">
        <v>17</v>
      </c>
      <c r="F110" s="1" t="s">
        <v>18</v>
      </c>
      <c r="G110" s="1" t="s">
        <v>173</v>
      </c>
      <c r="H110" s="1" t="s">
        <v>18</v>
      </c>
      <c r="I110" s="1" t="s">
        <v>173</v>
      </c>
      <c r="J110" s="1" t="s">
        <v>174</v>
      </c>
      <c r="K110" s="1" t="s">
        <v>174</v>
      </c>
      <c r="L110" s="1" t="s">
        <v>22</v>
      </c>
      <c r="M110" s="1" t="s">
        <v>95</v>
      </c>
      <c r="N110" s="1" t="s">
        <v>173</v>
      </c>
      <c r="O110" s="1" t="s">
        <v>95</v>
      </c>
      <c r="P110" s="1" t="e">
        <f t="shared" si="4"/>
        <v>#REF!</v>
      </c>
    </row>
    <row r="111">
      <c r="A111" s="1" t="s">
        <v>91</v>
      </c>
      <c r="B111" s="1" t="str">
        <f>K111</f>
        <v xml:space="preserve">11 Adult Ed</v>
      </c>
      <c r="C111" s="1" t="str">
        <f>L111</f>
        <v>.</v>
      </c>
      <c r="D111" s="1" t="s">
        <v>184</v>
      </c>
      <c r="E111" s="1" t="s">
        <v>17</v>
      </c>
      <c r="F111" s="1" t="s">
        <v>18</v>
      </c>
      <c r="G111" s="1" t="s">
        <v>173</v>
      </c>
      <c r="H111" s="1" t="s">
        <v>18</v>
      </c>
      <c r="I111" s="1" t="s">
        <v>173</v>
      </c>
      <c r="J111" s="1" t="s">
        <v>174</v>
      </c>
      <c r="K111" s="1" t="s">
        <v>174</v>
      </c>
      <c r="L111" s="1" t="s">
        <v>22</v>
      </c>
      <c r="M111" s="1" t="s">
        <v>95</v>
      </c>
      <c r="N111" s="1" t="s">
        <v>173</v>
      </c>
      <c r="O111" s="1" t="s">
        <v>95</v>
      </c>
      <c r="P111" s="1" t="e">
        <f t="shared" si="4"/>
        <v>#REF!</v>
      </c>
    </row>
    <row r="112">
      <c r="A112" s="1" t="s">
        <v>91</v>
      </c>
      <c r="B112" s="1" t="str">
        <f>K112</f>
        <v xml:space="preserve">11 Adult Ed</v>
      </c>
      <c r="C112" s="1" t="str">
        <f>L112</f>
        <v>.</v>
      </c>
      <c r="D112" s="1" t="s">
        <v>185</v>
      </c>
      <c r="E112" s="1" t="s">
        <v>17</v>
      </c>
      <c r="F112" s="1" t="s">
        <v>18</v>
      </c>
      <c r="G112" s="1" t="s">
        <v>173</v>
      </c>
      <c r="H112" s="1" t="s">
        <v>18</v>
      </c>
      <c r="I112" s="1" t="s">
        <v>173</v>
      </c>
      <c r="J112" s="1" t="s">
        <v>174</v>
      </c>
      <c r="K112" s="1" t="s">
        <v>174</v>
      </c>
      <c r="L112" s="1" t="s">
        <v>22</v>
      </c>
      <c r="M112" s="1" t="s">
        <v>95</v>
      </c>
      <c r="N112" s="1" t="s">
        <v>173</v>
      </c>
      <c r="O112" s="1" t="s">
        <v>95</v>
      </c>
      <c r="P112" s="1" t="e">
        <f t="shared" si="4"/>
        <v>#REF!</v>
      </c>
    </row>
    <row r="113">
      <c r="A113" s="1" t="s">
        <v>91</v>
      </c>
      <c r="B113" s="1" t="str">
        <f>K113</f>
        <v xml:space="preserve">12 Care &amp; Support</v>
      </c>
      <c r="C113" s="1" t="str">
        <f>L113</f>
        <v>.</v>
      </c>
      <c r="D113" s="1" t="s">
        <v>186</v>
      </c>
      <c r="E113" s="1" t="s">
        <v>17</v>
      </c>
      <c r="F113" s="1" t="s">
        <v>18</v>
      </c>
      <c r="G113" s="1" t="s">
        <v>187</v>
      </c>
      <c r="H113" s="1" t="s">
        <v>18</v>
      </c>
      <c r="I113" s="1" t="s">
        <v>187</v>
      </c>
      <c r="J113" s="1" t="s">
        <v>188</v>
      </c>
      <c r="K113" s="1" t="s">
        <v>188</v>
      </c>
      <c r="L113" s="1" t="s">
        <v>22</v>
      </c>
      <c r="M113" s="1" t="s">
        <v>95</v>
      </c>
      <c r="N113" s="1" t="s">
        <v>187</v>
      </c>
      <c r="O113" s="1" t="s">
        <v>95</v>
      </c>
      <c r="P113" s="1" t="e">
        <f t="shared" si="4"/>
        <v>#REF!</v>
      </c>
    </row>
    <row r="114">
      <c r="A114" s="1" t="s">
        <v>91</v>
      </c>
      <c r="B114" s="1" t="str">
        <f>K114</f>
        <v xml:space="preserve">12 Care &amp; Support</v>
      </c>
      <c r="C114" s="1" t="str">
        <f>L114</f>
        <v>.</v>
      </c>
      <c r="D114" s="1" t="s">
        <v>189</v>
      </c>
      <c r="E114" s="1" t="s">
        <v>17</v>
      </c>
      <c r="F114" s="1" t="s">
        <v>18</v>
      </c>
      <c r="G114" s="1" t="s">
        <v>187</v>
      </c>
      <c r="H114" s="1" t="s">
        <v>18</v>
      </c>
      <c r="I114" s="1" t="s">
        <v>187</v>
      </c>
      <c r="J114" s="1" t="s">
        <v>188</v>
      </c>
      <c r="K114" s="1" t="s">
        <v>188</v>
      </c>
      <c r="L114" s="1" t="s">
        <v>22</v>
      </c>
      <c r="M114" s="1" t="s">
        <v>95</v>
      </c>
      <c r="N114" s="1" t="s">
        <v>187</v>
      </c>
      <c r="O114" s="1" t="s">
        <v>95</v>
      </c>
      <c r="P114" s="1" t="e">
        <f t="shared" si="4"/>
        <v>#REF!</v>
      </c>
    </row>
    <row r="115">
      <c r="A115" s="1" t="s">
        <v>91</v>
      </c>
      <c r="B115" s="1" t="str">
        <f>K115</f>
        <v xml:space="preserve">12 Care &amp; Support</v>
      </c>
      <c r="C115" s="1" t="str">
        <f>L115</f>
        <v>.</v>
      </c>
      <c r="D115" s="1" t="s">
        <v>190</v>
      </c>
      <c r="E115" s="1" t="s">
        <v>17</v>
      </c>
      <c r="F115" s="1" t="s">
        <v>18</v>
      </c>
      <c r="G115" s="1" t="s">
        <v>187</v>
      </c>
      <c r="H115" s="1" t="s">
        <v>18</v>
      </c>
      <c r="I115" s="1" t="s">
        <v>187</v>
      </c>
      <c r="J115" s="1" t="s">
        <v>188</v>
      </c>
      <c r="K115" s="1" t="s">
        <v>188</v>
      </c>
      <c r="L115" s="1" t="s">
        <v>22</v>
      </c>
      <c r="M115" s="1" t="s">
        <v>95</v>
      </c>
      <c r="N115" s="1" t="s">
        <v>187</v>
      </c>
      <c r="O115" s="1" t="s">
        <v>95</v>
      </c>
      <c r="P115" s="1" t="e">
        <f t="shared" si="4"/>
        <v>#REF!</v>
      </c>
    </row>
    <row r="116">
      <c r="A116" s="1" t="s">
        <v>91</v>
      </c>
      <c r="B116" s="1" t="str">
        <f>K116</f>
        <v xml:space="preserve">12 Care &amp; Support</v>
      </c>
      <c r="C116" s="1" t="str">
        <f>L116</f>
        <v>.</v>
      </c>
      <c r="D116" s="1" t="s">
        <v>191</v>
      </c>
      <c r="E116" s="1" t="s">
        <v>17</v>
      </c>
      <c r="F116" s="1" t="s">
        <v>18</v>
      </c>
      <c r="G116" s="1" t="s">
        <v>187</v>
      </c>
      <c r="H116" s="1" t="s">
        <v>18</v>
      </c>
      <c r="I116" s="1" t="s">
        <v>187</v>
      </c>
      <c r="J116" s="1" t="s">
        <v>188</v>
      </c>
      <c r="K116" s="1" t="s">
        <v>188</v>
      </c>
      <c r="L116" s="1" t="s">
        <v>22</v>
      </c>
      <c r="M116" s="1" t="s">
        <v>95</v>
      </c>
      <c r="N116" s="1" t="s">
        <v>187</v>
      </c>
      <c r="O116" s="1" t="s">
        <v>95</v>
      </c>
      <c r="P116" s="1" t="e">
        <f t="shared" si="4"/>
        <v>#REF!</v>
      </c>
    </row>
    <row r="117">
      <c r="A117" s="1" t="s">
        <v>91</v>
      </c>
      <c r="B117" s="1" t="str">
        <f>K117</f>
        <v xml:space="preserve">12 Care &amp; Support</v>
      </c>
      <c r="C117" s="1" t="str">
        <f>L117</f>
        <v>.</v>
      </c>
      <c r="D117" s="1" t="s">
        <v>192</v>
      </c>
      <c r="E117" s="1" t="s">
        <v>17</v>
      </c>
      <c r="F117" s="1" t="s">
        <v>18</v>
      </c>
      <c r="G117" s="1" t="s">
        <v>187</v>
      </c>
      <c r="H117" s="1" t="s">
        <v>18</v>
      </c>
      <c r="I117" s="1" t="s">
        <v>187</v>
      </c>
      <c r="J117" s="1" t="s">
        <v>188</v>
      </c>
      <c r="K117" s="1" t="s">
        <v>188</v>
      </c>
      <c r="L117" s="1" t="s">
        <v>22</v>
      </c>
      <c r="M117" s="1" t="s">
        <v>95</v>
      </c>
      <c r="N117" s="1" t="s">
        <v>187</v>
      </c>
      <c r="O117" s="1" t="s">
        <v>95</v>
      </c>
      <c r="P117" s="1" t="e">
        <f t="shared" si="4"/>
        <v>#REF!</v>
      </c>
    </row>
    <row r="118">
      <c r="A118" s="1" t="s">
        <v>91</v>
      </c>
      <c r="B118" s="1" t="str">
        <f>K118</f>
        <v xml:space="preserve">13 Membership</v>
      </c>
      <c r="C118" s="1" t="str">
        <f>L118</f>
        <v>.</v>
      </c>
      <c r="D118" s="1" t="s">
        <v>193</v>
      </c>
      <c r="E118" s="1" t="s">
        <v>17</v>
      </c>
      <c r="F118" s="1" t="s">
        <v>18</v>
      </c>
      <c r="G118" s="1" t="s">
        <v>194</v>
      </c>
      <c r="H118" s="1" t="s">
        <v>18</v>
      </c>
      <c r="I118" s="1" t="s">
        <v>194</v>
      </c>
      <c r="J118" s="1" t="s">
        <v>195</v>
      </c>
      <c r="K118" s="1" t="s">
        <v>195</v>
      </c>
      <c r="L118" s="1" t="s">
        <v>22</v>
      </c>
      <c r="M118" s="1" t="s">
        <v>95</v>
      </c>
      <c r="N118" s="1" t="s">
        <v>194</v>
      </c>
      <c r="O118" s="1" t="s">
        <v>95</v>
      </c>
      <c r="P118" s="1" t="e">
        <f t="shared" si="4"/>
        <v>#REF!</v>
      </c>
    </row>
    <row r="119">
      <c r="A119" s="1" t="s">
        <v>91</v>
      </c>
      <c r="B119" s="1" t="str">
        <f>K119</f>
        <v xml:space="preserve">13 Membership</v>
      </c>
      <c r="C119" s="1" t="str">
        <f>L119</f>
        <v>.</v>
      </c>
      <c r="D119" s="1" t="s">
        <v>196</v>
      </c>
      <c r="E119" s="1" t="s">
        <v>17</v>
      </c>
      <c r="F119" s="1" t="s">
        <v>18</v>
      </c>
      <c r="G119" s="1" t="s">
        <v>194</v>
      </c>
      <c r="H119" s="1" t="s">
        <v>18</v>
      </c>
      <c r="I119" s="1" t="s">
        <v>194</v>
      </c>
      <c r="J119" s="1" t="s">
        <v>195</v>
      </c>
      <c r="K119" s="1" t="s">
        <v>195</v>
      </c>
      <c r="L119" s="1" t="s">
        <v>22</v>
      </c>
      <c r="M119" s="1" t="s">
        <v>95</v>
      </c>
      <c r="N119" s="1" t="s">
        <v>194</v>
      </c>
      <c r="O119" s="1" t="s">
        <v>95</v>
      </c>
      <c r="P119" s="1" t="e">
        <f t="shared" si="4"/>
        <v>#REF!</v>
      </c>
    </row>
    <row r="120">
      <c r="A120" s="1" t="s">
        <v>91</v>
      </c>
      <c r="B120" s="1" t="str">
        <f>K120</f>
        <v xml:space="preserve">13 Membership</v>
      </c>
      <c r="C120" s="1" t="str">
        <f>L120</f>
        <v>.</v>
      </c>
      <c r="D120" s="1" t="s">
        <v>197</v>
      </c>
      <c r="E120" s="1" t="s">
        <v>17</v>
      </c>
      <c r="F120" s="1" t="s">
        <v>18</v>
      </c>
      <c r="G120" s="1" t="s">
        <v>194</v>
      </c>
      <c r="H120" s="1" t="s">
        <v>18</v>
      </c>
      <c r="I120" s="1" t="s">
        <v>194</v>
      </c>
      <c r="J120" s="1" t="s">
        <v>195</v>
      </c>
      <c r="K120" s="1" t="s">
        <v>195</v>
      </c>
      <c r="L120" s="1" t="s">
        <v>22</v>
      </c>
      <c r="M120" s="1" t="s">
        <v>95</v>
      </c>
      <c r="N120" s="1" t="s">
        <v>194</v>
      </c>
      <c r="O120" s="1" t="s">
        <v>95</v>
      </c>
      <c r="P120" s="1" t="e">
        <f t="shared" si="4"/>
        <v>#REF!</v>
      </c>
    </row>
    <row r="121">
      <c r="A121" s="1" t="s">
        <v>91</v>
      </c>
      <c r="B121" s="1" t="str">
        <f>K121</f>
        <v xml:space="preserve">13 Membership</v>
      </c>
      <c r="C121" s="1" t="str">
        <f>L121</f>
        <v>.</v>
      </c>
      <c r="D121" s="1" t="s">
        <v>198</v>
      </c>
      <c r="E121" s="1" t="s">
        <v>17</v>
      </c>
      <c r="F121" s="1" t="s">
        <v>18</v>
      </c>
      <c r="G121" s="1" t="s">
        <v>194</v>
      </c>
      <c r="H121" s="1" t="s">
        <v>18</v>
      </c>
      <c r="I121" s="1" t="s">
        <v>194</v>
      </c>
      <c r="J121" s="1" t="s">
        <v>195</v>
      </c>
      <c r="K121" s="1" t="s">
        <v>195</v>
      </c>
      <c r="L121" s="1" t="s">
        <v>22</v>
      </c>
      <c r="M121" s="1" t="s">
        <v>95</v>
      </c>
      <c r="N121" s="1" t="s">
        <v>194</v>
      </c>
      <c r="O121" s="1" t="s">
        <v>95</v>
      </c>
      <c r="P121" s="1" t="e">
        <f t="shared" si="4"/>
        <v>#REF!</v>
      </c>
    </row>
    <row r="122">
      <c r="A122" s="13" t="s">
        <v>91</v>
      </c>
      <c r="B122" s="1" t="str">
        <f>K122</f>
        <v xml:space="preserve">13 Membership</v>
      </c>
      <c r="C122" s="1" t="str">
        <f>L122</f>
        <v>.</v>
      </c>
      <c r="D122" s="13" t="s">
        <v>199</v>
      </c>
      <c r="E122" s="13" t="s">
        <v>63</v>
      </c>
      <c r="F122" s="13" t="s">
        <v>64</v>
      </c>
      <c r="G122" s="13" t="s">
        <v>194</v>
      </c>
      <c r="H122" s="13" t="s">
        <v>64</v>
      </c>
      <c r="I122" s="13" t="s">
        <v>194</v>
      </c>
      <c r="J122" s="13" t="s">
        <v>195</v>
      </c>
      <c r="K122" s="13" t="s">
        <v>195</v>
      </c>
      <c r="L122" s="1" t="s">
        <v>22</v>
      </c>
      <c r="M122" s="1" t="s">
        <v>95</v>
      </c>
      <c r="N122" s="1" t="s">
        <v>194</v>
      </c>
      <c r="O122" s="13" t="s">
        <v>95</v>
      </c>
      <c r="P122" s="13" t="e">
        <f t="shared" ref="P122:P123" si="5">IF(B122=B120,P120,P120+1)</f>
        <v>#REF!</v>
      </c>
    </row>
    <row r="123">
      <c r="A123" s="1" t="s">
        <v>91</v>
      </c>
      <c r="B123" s="1" t="str">
        <f>K123</f>
        <v xml:space="preserve">13 Membership</v>
      </c>
      <c r="C123" s="1" t="str">
        <f>L123</f>
        <v>.</v>
      </c>
      <c r="D123" s="1" t="s">
        <v>200</v>
      </c>
      <c r="E123" s="1" t="s">
        <v>63</v>
      </c>
      <c r="F123" s="1" t="s">
        <v>64</v>
      </c>
      <c r="G123" s="1" t="s">
        <v>194</v>
      </c>
      <c r="H123" s="1" t="s">
        <v>64</v>
      </c>
      <c r="I123" s="1" t="s">
        <v>194</v>
      </c>
      <c r="J123" s="1" t="s">
        <v>195</v>
      </c>
      <c r="K123" s="1" t="s">
        <v>195</v>
      </c>
      <c r="L123" s="1" t="s">
        <v>22</v>
      </c>
      <c r="M123" s="1" t="s">
        <v>95</v>
      </c>
      <c r="N123" s="1" t="s">
        <v>194</v>
      </c>
      <c r="O123" s="1" t="s">
        <v>95</v>
      </c>
      <c r="P123" s="1" t="e">
        <f t="shared" si="5"/>
        <v>#REF!</v>
      </c>
    </row>
    <row r="124">
      <c r="A124" s="1" t="s">
        <v>91</v>
      </c>
      <c r="B124" s="1" t="str">
        <f>K124</f>
        <v xml:space="preserve">14 Creation Care</v>
      </c>
      <c r="C124" s="1" t="str">
        <f>L124</f>
        <v>.</v>
      </c>
      <c r="D124" s="1" t="s">
        <v>201</v>
      </c>
      <c r="E124" s="1" t="s">
        <v>74</v>
      </c>
      <c r="F124" s="1" t="s">
        <v>36</v>
      </c>
      <c r="G124" s="1" t="s">
        <v>202</v>
      </c>
      <c r="H124" s="1" t="s">
        <v>148</v>
      </c>
      <c r="I124" s="1" t="s">
        <v>202</v>
      </c>
      <c r="J124" s="1" t="s">
        <v>203</v>
      </c>
      <c r="K124" s="1" t="s">
        <v>203</v>
      </c>
      <c r="L124" s="1" t="s">
        <v>22</v>
      </c>
      <c r="M124" s="1" t="s">
        <v>95</v>
      </c>
      <c r="N124" s="1" t="s">
        <v>202</v>
      </c>
      <c r="O124" s="1" t="s">
        <v>36</v>
      </c>
      <c r="P124" s="1" t="e">
        <f>IF(B124=B121,P121,P121+1)</f>
        <v>#REF!</v>
      </c>
    </row>
    <row r="125">
      <c r="A125" s="1" t="s">
        <v>91</v>
      </c>
      <c r="B125" s="1" t="str">
        <f>K125</f>
        <v xml:space="preserve">14 Creation Care</v>
      </c>
      <c r="C125" s="1" t="str">
        <f>L125</f>
        <v>.</v>
      </c>
      <c r="D125" s="1" t="s">
        <v>204</v>
      </c>
      <c r="E125" s="1" t="s">
        <v>74</v>
      </c>
      <c r="F125" s="1" t="s">
        <v>36</v>
      </c>
      <c r="G125" s="1" t="s">
        <v>202</v>
      </c>
      <c r="H125" s="1" t="s">
        <v>148</v>
      </c>
      <c r="I125" s="1" t="s">
        <v>202</v>
      </c>
      <c r="J125" s="1" t="s">
        <v>203</v>
      </c>
      <c r="K125" s="1" t="s">
        <v>203</v>
      </c>
      <c r="L125" s="1" t="s">
        <v>22</v>
      </c>
      <c r="M125" s="1" t="s">
        <v>95</v>
      </c>
      <c r="N125" s="1" t="s">
        <v>202</v>
      </c>
      <c r="O125" s="1" t="s">
        <v>36</v>
      </c>
      <c r="P125" s="1" t="e">
        <f t="shared" ref="P125:P188" si="6">IF(B125=B124,P124,P124+1)</f>
        <v>#REF!</v>
      </c>
    </row>
    <row r="126">
      <c r="A126" s="1" t="s">
        <v>91</v>
      </c>
      <c r="B126" s="1" t="str">
        <f>K126</f>
        <v xml:space="preserve">14 Creation Care</v>
      </c>
      <c r="C126" s="1" t="str">
        <f>L126</f>
        <v>.</v>
      </c>
      <c r="D126" s="1" t="s">
        <v>205</v>
      </c>
      <c r="E126" s="1" t="s">
        <v>74</v>
      </c>
      <c r="F126" s="1" t="s">
        <v>36</v>
      </c>
      <c r="G126" s="1" t="s">
        <v>202</v>
      </c>
      <c r="H126" s="1" t="s">
        <v>148</v>
      </c>
      <c r="I126" s="1" t="s">
        <v>202</v>
      </c>
      <c r="J126" s="1" t="s">
        <v>203</v>
      </c>
      <c r="K126" s="1" t="s">
        <v>203</v>
      </c>
      <c r="L126" s="1" t="s">
        <v>22</v>
      </c>
      <c r="M126" s="1" t="s">
        <v>95</v>
      </c>
      <c r="N126" s="1" t="s">
        <v>202</v>
      </c>
      <c r="O126" s="1" t="s">
        <v>36</v>
      </c>
      <c r="P126" s="1" t="e">
        <f t="shared" si="6"/>
        <v>#REF!</v>
      </c>
    </row>
    <row r="127">
      <c r="A127" s="1" t="s">
        <v>91</v>
      </c>
      <c r="B127" s="1" t="str">
        <f>K127</f>
        <v xml:space="preserve">14 Creation Care</v>
      </c>
      <c r="C127" s="1" t="str">
        <f>L127</f>
        <v>.</v>
      </c>
      <c r="D127" s="1" t="s">
        <v>206</v>
      </c>
      <c r="E127" s="1" t="s">
        <v>74</v>
      </c>
      <c r="F127" s="1" t="s">
        <v>36</v>
      </c>
      <c r="G127" s="1" t="s">
        <v>202</v>
      </c>
      <c r="H127" s="1" t="s">
        <v>148</v>
      </c>
      <c r="I127" s="1" t="s">
        <v>202</v>
      </c>
      <c r="J127" s="1" t="s">
        <v>203</v>
      </c>
      <c r="K127" s="1" t="s">
        <v>203</v>
      </c>
      <c r="L127" s="1" t="s">
        <v>22</v>
      </c>
      <c r="M127" s="1" t="s">
        <v>95</v>
      </c>
      <c r="N127" s="1" t="s">
        <v>202</v>
      </c>
      <c r="O127" s="1" t="s">
        <v>36</v>
      </c>
      <c r="P127" s="1" t="e">
        <f t="shared" si="6"/>
        <v>#REF!</v>
      </c>
    </row>
    <row r="128">
      <c r="A128" s="1" t="s">
        <v>91</v>
      </c>
      <c r="B128" s="1" t="str">
        <f>K128</f>
        <v xml:space="preserve">15 Property</v>
      </c>
      <c r="C128" s="1" t="str">
        <f>L128</f>
        <v>.</v>
      </c>
      <c r="D128" s="1" t="s">
        <v>207</v>
      </c>
      <c r="E128" s="1" t="s">
        <v>17</v>
      </c>
      <c r="F128" s="1" t="s">
        <v>18</v>
      </c>
      <c r="G128" s="1" t="s">
        <v>208</v>
      </c>
      <c r="H128" s="1" t="s">
        <v>18</v>
      </c>
      <c r="I128" s="1" t="s">
        <v>208</v>
      </c>
      <c r="J128" s="1" t="s">
        <v>209</v>
      </c>
      <c r="K128" s="1" t="s">
        <v>209</v>
      </c>
      <c r="L128" s="1" t="s">
        <v>22</v>
      </c>
      <c r="M128" s="1" t="s">
        <v>210</v>
      </c>
      <c r="N128" s="1" t="s">
        <v>208</v>
      </c>
      <c r="O128" s="1" t="s">
        <v>18</v>
      </c>
      <c r="P128" s="1" t="e">
        <f t="shared" si="6"/>
        <v>#REF!</v>
      </c>
    </row>
    <row r="129">
      <c r="A129" s="1" t="s">
        <v>91</v>
      </c>
      <c r="B129" s="1" t="str">
        <f>K129</f>
        <v xml:space="preserve">15 Property</v>
      </c>
      <c r="C129" s="1" t="str">
        <f>L129</f>
        <v>.</v>
      </c>
      <c r="D129" s="5" t="s">
        <v>211</v>
      </c>
      <c r="E129" s="1"/>
      <c r="F129" s="1"/>
      <c r="G129" s="1"/>
      <c r="H129" s="1"/>
      <c r="I129" s="1"/>
      <c r="J129" s="1" t="s">
        <v>209</v>
      </c>
      <c r="K129" s="1" t="s">
        <v>209</v>
      </c>
      <c r="L129" s="1" t="s">
        <v>22</v>
      </c>
      <c r="M129" s="1" t="s">
        <v>210</v>
      </c>
      <c r="N129" s="1" t="s">
        <v>208</v>
      </c>
      <c r="O129" s="1" t="s">
        <v>18</v>
      </c>
      <c r="P129" s="1" t="e">
        <f t="shared" si="6"/>
        <v>#REF!</v>
      </c>
    </row>
    <row r="130">
      <c r="A130" s="1" t="s">
        <v>91</v>
      </c>
      <c r="B130" s="1" t="str">
        <f>K130</f>
        <v xml:space="preserve">15 Property</v>
      </c>
      <c r="C130" s="1" t="str">
        <f>L130</f>
        <v>.</v>
      </c>
      <c r="D130" s="1" t="s">
        <v>212</v>
      </c>
      <c r="E130" s="1" t="s">
        <v>17</v>
      </c>
      <c r="F130" s="1" t="s">
        <v>18</v>
      </c>
      <c r="G130" s="1" t="s">
        <v>208</v>
      </c>
      <c r="H130" s="1" t="s">
        <v>18</v>
      </c>
      <c r="I130" s="1" t="s">
        <v>208</v>
      </c>
      <c r="J130" s="1" t="s">
        <v>209</v>
      </c>
      <c r="K130" s="1" t="s">
        <v>209</v>
      </c>
      <c r="L130" s="1" t="s">
        <v>22</v>
      </c>
      <c r="M130" s="1" t="s">
        <v>210</v>
      </c>
      <c r="N130" s="1" t="s">
        <v>208</v>
      </c>
      <c r="O130" s="1" t="s">
        <v>18</v>
      </c>
      <c r="P130" s="1" t="e">
        <f t="shared" si="6"/>
        <v>#REF!</v>
      </c>
    </row>
    <row r="131">
      <c r="A131" s="1" t="s">
        <v>91</v>
      </c>
      <c r="B131" s="1" t="str">
        <f>K131</f>
        <v xml:space="preserve">15 Property</v>
      </c>
      <c r="C131" s="1" t="str">
        <f>L131</f>
        <v>.</v>
      </c>
      <c r="D131" s="1" t="s">
        <v>213</v>
      </c>
      <c r="E131" s="1" t="s">
        <v>17</v>
      </c>
      <c r="F131" s="1" t="s">
        <v>18</v>
      </c>
      <c r="G131" s="1" t="s">
        <v>208</v>
      </c>
      <c r="H131" s="1" t="s">
        <v>18</v>
      </c>
      <c r="I131" s="1" t="s">
        <v>208</v>
      </c>
      <c r="J131" s="1" t="s">
        <v>209</v>
      </c>
      <c r="K131" s="1" t="s">
        <v>209</v>
      </c>
      <c r="L131" s="1" t="s">
        <v>22</v>
      </c>
      <c r="M131" s="1" t="s">
        <v>210</v>
      </c>
      <c r="N131" s="1" t="s">
        <v>208</v>
      </c>
      <c r="O131" s="1" t="s">
        <v>18</v>
      </c>
      <c r="P131" s="1" t="e">
        <f t="shared" si="6"/>
        <v>#REF!</v>
      </c>
    </row>
    <row r="132">
      <c r="A132" s="1" t="s">
        <v>91</v>
      </c>
      <c r="B132" s="1" t="str">
        <f>K132</f>
        <v xml:space="preserve">15 Property</v>
      </c>
      <c r="C132" s="1" t="str">
        <f>L132</f>
        <v>.</v>
      </c>
      <c r="D132" s="1" t="s">
        <v>214</v>
      </c>
      <c r="E132" s="1" t="s">
        <v>17</v>
      </c>
      <c r="F132" s="1" t="s">
        <v>18</v>
      </c>
      <c r="G132" s="1" t="s">
        <v>208</v>
      </c>
      <c r="H132" s="1" t="s">
        <v>18</v>
      </c>
      <c r="I132" s="1" t="s">
        <v>208</v>
      </c>
      <c r="J132" s="1" t="s">
        <v>209</v>
      </c>
      <c r="K132" s="1" t="s">
        <v>209</v>
      </c>
      <c r="L132" s="1" t="s">
        <v>22</v>
      </c>
      <c r="M132" s="1" t="s">
        <v>210</v>
      </c>
      <c r="N132" s="1" t="s">
        <v>208</v>
      </c>
      <c r="O132" s="1" t="s">
        <v>18</v>
      </c>
      <c r="P132" s="1" t="e">
        <f t="shared" si="6"/>
        <v>#REF!</v>
      </c>
    </row>
    <row r="133">
      <c r="A133" s="1" t="s">
        <v>91</v>
      </c>
      <c r="B133" s="1" t="str">
        <f>K133</f>
        <v xml:space="preserve">15 Property</v>
      </c>
      <c r="C133" s="1" t="str">
        <f>L133</f>
        <v>.</v>
      </c>
      <c r="D133" s="1" t="s">
        <v>215</v>
      </c>
      <c r="E133" s="1" t="s">
        <v>17</v>
      </c>
      <c r="F133" s="1" t="s">
        <v>18</v>
      </c>
      <c r="G133" s="1" t="s">
        <v>208</v>
      </c>
      <c r="H133" s="1" t="s">
        <v>18</v>
      </c>
      <c r="I133" s="1" t="s">
        <v>208</v>
      </c>
      <c r="J133" s="1" t="s">
        <v>209</v>
      </c>
      <c r="K133" s="1" t="s">
        <v>209</v>
      </c>
      <c r="L133" s="1" t="s">
        <v>22</v>
      </c>
      <c r="M133" s="1" t="s">
        <v>210</v>
      </c>
      <c r="N133" s="1" t="s">
        <v>208</v>
      </c>
      <c r="O133" s="1" t="s">
        <v>18</v>
      </c>
      <c r="P133" s="1" t="e">
        <f t="shared" si="6"/>
        <v>#REF!</v>
      </c>
    </row>
    <row r="134">
      <c r="A134" s="1" t="s">
        <v>91</v>
      </c>
      <c r="B134" s="1" t="str">
        <f>K134</f>
        <v xml:space="preserve">15 Property</v>
      </c>
      <c r="C134" s="1" t="str">
        <f>L134</f>
        <v>.</v>
      </c>
      <c r="D134" s="1" t="s">
        <v>216</v>
      </c>
      <c r="E134" s="1" t="s">
        <v>17</v>
      </c>
      <c r="F134" s="1" t="s">
        <v>18</v>
      </c>
      <c r="G134" s="1" t="s">
        <v>208</v>
      </c>
      <c r="H134" s="1" t="s">
        <v>18</v>
      </c>
      <c r="I134" s="1" t="s">
        <v>208</v>
      </c>
      <c r="J134" s="1" t="s">
        <v>209</v>
      </c>
      <c r="K134" s="1" t="s">
        <v>209</v>
      </c>
      <c r="L134" s="1" t="s">
        <v>22</v>
      </c>
      <c r="M134" s="1" t="s">
        <v>210</v>
      </c>
      <c r="N134" s="1" t="s">
        <v>208</v>
      </c>
      <c r="O134" s="1" t="s">
        <v>18</v>
      </c>
      <c r="P134" s="1" t="e">
        <f t="shared" si="6"/>
        <v>#REF!</v>
      </c>
    </row>
    <row r="135">
      <c r="A135" s="1" t="s">
        <v>91</v>
      </c>
      <c r="B135" s="1" t="str">
        <f>K135</f>
        <v xml:space="preserve">15 Property</v>
      </c>
      <c r="C135" s="1" t="str">
        <f>L135</f>
        <v>.</v>
      </c>
      <c r="D135" s="1" t="s">
        <v>217</v>
      </c>
      <c r="E135" s="1" t="s">
        <v>17</v>
      </c>
      <c r="F135" s="1" t="s">
        <v>18</v>
      </c>
      <c r="G135" s="1" t="s">
        <v>208</v>
      </c>
      <c r="H135" s="1" t="s">
        <v>18</v>
      </c>
      <c r="I135" s="1" t="s">
        <v>208</v>
      </c>
      <c r="J135" s="1" t="s">
        <v>209</v>
      </c>
      <c r="K135" s="1" t="s">
        <v>209</v>
      </c>
      <c r="L135" s="1" t="s">
        <v>22</v>
      </c>
      <c r="M135" s="1" t="s">
        <v>210</v>
      </c>
      <c r="N135" s="1" t="s">
        <v>208</v>
      </c>
      <c r="O135" s="1" t="s">
        <v>18</v>
      </c>
      <c r="P135" s="1" t="e">
        <f t="shared" si="6"/>
        <v>#REF!</v>
      </c>
    </row>
    <row r="136">
      <c r="A136" s="1" t="s">
        <v>91</v>
      </c>
      <c r="B136" s="1" t="str">
        <f>K136</f>
        <v xml:space="preserve">15 Property</v>
      </c>
      <c r="C136" s="1" t="str">
        <f>L136</f>
        <v>.</v>
      </c>
      <c r="D136" s="1" t="s">
        <v>218</v>
      </c>
      <c r="E136" s="1" t="s">
        <v>17</v>
      </c>
      <c r="F136" s="1" t="s">
        <v>18</v>
      </c>
      <c r="G136" s="1" t="s">
        <v>208</v>
      </c>
      <c r="H136" s="1" t="s">
        <v>18</v>
      </c>
      <c r="I136" s="1" t="s">
        <v>208</v>
      </c>
      <c r="J136" s="1" t="s">
        <v>209</v>
      </c>
      <c r="K136" s="1" t="s">
        <v>209</v>
      </c>
      <c r="L136" s="1" t="s">
        <v>22</v>
      </c>
      <c r="M136" s="1" t="s">
        <v>210</v>
      </c>
      <c r="N136" s="1" t="s">
        <v>208</v>
      </c>
      <c r="O136" s="1" t="s">
        <v>18</v>
      </c>
      <c r="P136" s="1" t="e">
        <f t="shared" si="6"/>
        <v>#REF!</v>
      </c>
    </row>
    <row r="137">
      <c r="A137" s="1" t="s">
        <v>91</v>
      </c>
      <c r="B137" s="1" t="str">
        <f>K137</f>
        <v xml:space="preserve">15 Property</v>
      </c>
      <c r="C137" s="1" t="str">
        <f>L137</f>
        <v>.</v>
      </c>
      <c r="D137" s="1" t="s">
        <v>219</v>
      </c>
      <c r="E137" s="1" t="s">
        <v>17</v>
      </c>
      <c r="F137" s="1" t="s">
        <v>18</v>
      </c>
      <c r="G137" s="1" t="s">
        <v>208</v>
      </c>
      <c r="H137" s="1" t="s">
        <v>18</v>
      </c>
      <c r="I137" s="1" t="s">
        <v>208</v>
      </c>
      <c r="J137" s="1" t="s">
        <v>209</v>
      </c>
      <c r="K137" s="1" t="s">
        <v>209</v>
      </c>
      <c r="L137" s="1" t="s">
        <v>22</v>
      </c>
      <c r="M137" s="1" t="s">
        <v>210</v>
      </c>
      <c r="N137" s="1" t="s">
        <v>208</v>
      </c>
      <c r="O137" s="1" t="s">
        <v>18</v>
      </c>
      <c r="P137" s="1" t="e">
        <f t="shared" si="6"/>
        <v>#REF!</v>
      </c>
    </row>
    <row r="138">
      <c r="A138" s="1" t="s">
        <v>91</v>
      </c>
      <c r="B138" s="1" t="str">
        <f>K138</f>
        <v xml:space="preserve">15 Property</v>
      </c>
      <c r="C138" s="1" t="str">
        <f>L138</f>
        <v>.</v>
      </c>
      <c r="D138" s="1" t="s">
        <v>220</v>
      </c>
      <c r="E138" s="1" t="s">
        <v>17</v>
      </c>
      <c r="F138" s="1" t="s">
        <v>18</v>
      </c>
      <c r="G138" s="1" t="s">
        <v>208</v>
      </c>
      <c r="H138" s="1" t="s">
        <v>18</v>
      </c>
      <c r="I138" s="1" t="s">
        <v>208</v>
      </c>
      <c r="J138" s="1" t="s">
        <v>209</v>
      </c>
      <c r="K138" s="1" t="s">
        <v>209</v>
      </c>
      <c r="L138" s="1" t="s">
        <v>22</v>
      </c>
      <c r="M138" s="1" t="s">
        <v>210</v>
      </c>
      <c r="N138" s="1" t="s">
        <v>208</v>
      </c>
      <c r="O138" s="1" t="s">
        <v>18</v>
      </c>
      <c r="P138" s="1" t="e">
        <f t="shared" si="6"/>
        <v>#REF!</v>
      </c>
    </row>
    <row r="139">
      <c r="A139" s="1" t="s">
        <v>91</v>
      </c>
      <c r="B139" s="1" t="str">
        <f>K139</f>
        <v xml:space="preserve">15 Property</v>
      </c>
      <c r="C139" s="1" t="str">
        <f>L139</f>
        <v>.</v>
      </c>
      <c r="D139" s="1" t="s">
        <v>221</v>
      </c>
      <c r="E139" s="1" t="s">
        <v>17</v>
      </c>
      <c r="F139" s="1" t="s">
        <v>18</v>
      </c>
      <c r="G139" s="1" t="s">
        <v>208</v>
      </c>
      <c r="H139" s="1" t="s">
        <v>18</v>
      </c>
      <c r="I139" s="1" t="s">
        <v>208</v>
      </c>
      <c r="J139" s="1" t="s">
        <v>209</v>
      </c>
      <c r="K139" s="1" t="s">
        <v>209</v>
      </c>
      <c r="L139" s="1" t="s">
        <v>22</v>
      </c>
      <c r="M139" s="1" t="s">
        <v>210</v>
      </c>
      <c r="N139" s="1" t="s">
        <v>208</v>
      </c>
      <c r="O139" s="1" t="s">
        <v>18</v>
      </c>
      <c r="P139" s="1" t="e">
        <f t="shared" si="6"/>
        <v>#REF!</v>
      </c>
    </row>
    <row r="140">
      <c r="A140" s="1" t="s">
        <v>91</v>
      </c>
      <c r="B140" s="1" t="str">
        <f>K140</f>
        <v xml:space="preserve">15 Property</v>
      </c>
      <c r="C140" s="1" t="str">
        <f>L140</f>
        <v>.</v>
      </c>
      <c r="D140" s="1" t="s">
        <v>222</v>
      </c>
      <c r="E140" s="1" t="s">
        <v>17</v>
      </c>
      <c r="F140" s="1" t="s">
        <v>18</v>
      </c>
      <c r="G140" s="1" t="s">
        <v>208</v>
      </c>
      <c r="H140" s="1" t="s">
        <v>18</v>
      </c>
      <c r="I140" s="1" t="s">
        <v>208</v>
      </c>
      <c r="J140" s="1" t="s">
        <v>209</v>
      </c>
      <c r="K140" s="1" t="s">
        <v>209</v>
      </c>
      <c r="L140" s="1" t="s">
        <v>22</v>
      </c>
      <c r="M140" s="1" t="s">
        <v>210</v>
      </c>
      <c r="N140" s="1" t="s">
        <v>208</v>
      </c>
      <c r="O140" s="1" t="s">
        <v>18</v>
      </c>
      <c r="P140" s="1" t="e">
        <f t="shared" si="6"/>
        <v>#REF!</v>
      </c>
    </row>
    <row r="141">
      <c r="A141" s="1" t="s">
        <v>91</v>
      </c>
      <c r="B141" s="1" t="str">
        <f>K141</f>
        <v xml:space="preserve">15 Property</v>
      </c>
      <c r="C141" s="1" t="str">
        <f>L141</f>
        <v>.</v>
      </c>
      <c r="D141" s="1" t="s">
        <v>223</v>
      </c>
      <c r="E141" s="1" t="s">
        <v>17</v>
      </c>
      <c r="F141" s="1" t="s">
        <v>18</v>
      </c>
      <c r="G141" s="1" t="s">
        <v>208</v>
      </c>
      <c r="H141" s="1" t="s">
        <v>18</v>
      </c>
      <c r="I141" s="1" t="s">
        <v>208</v>
      </c>
      <c r="J141" s="1" t="s">
        <v>209</v>
      </c>
      <c r="K141" s="1" t="s">
        <v>209</v>
      </c>
      <c r="L141" s="1" t="s">
        <v>22</v>
      </c>
      <c r="M141" s="1" t="s">
        <v>210</v>
      </c>
      <c r="N141" s="1" t="s">
        <v>208</v>
      </c>
      <c r="O141" s="1" t="s">
        <v>18</v>
      </c>
      <c r="P141" s="1" t="e">
        <f t="shared" si="6"/>
        <v>#REF!</v>
      </c>
    </row>
    <row r="142">
      <c r="A142" s="1" t="s">
        <v>91</v>
      </c>
      <c r="B142" s="1" t="str">
        <f>K142</f>
        <v xml:space="preserve">15 Property</v>
      </c>
      <c r="C142" s="1" t="str">
        <f>L142</f>
        <v>.</v>
      </c>
      <c r="D142" s="1" t="s">
        <v>224</v>
      </c>
      <c r="E142" s="1" t="s">
        <v>17</v>
      </c>
      <c r="F142" s="1" t="s">
        <v>18</v>
      </c>
      <c r="G142" s="1" t="s">
        <v>208</v>
      </c>
      <c r="H142" s="1" t="s">
        <v>18</v>
      </c>
      <c r="I142" s="1" t="s">
        <v>208</v>
      </c>
      <c r="J142" s="1" t="s">
        <v>209</v>
      </c>
      <c r="K142" s="1" t="s">
        <v>209</v>
      </c>
      <c r="L142" s="1" t="s">
        <v>22</v>
      </c>
      <c r="M142" s="1" t="s">
        <v>210</v>
      </c>
      <c r="N142" s="1" t="s">
        <v>208</v>
      </c>
      <c r="O142" s="1" t="s">
        <v>18</v>
      </c>
      <c r="P142" s="1" t="e">
        <f t="shared" si="6"/>
        <v>#REF!</v>
      </c>
    </row>
    <row r="143">
      <c r="A143" s="1" t="s">
        <v>91</v>
      </c>
      <c r="B143" s="1" t="str">
        <f>K143</f>
        <v xml:space="preserve">15 Property</v>
      </c>
      <c r="C143" s="1" t="str">
        <f>L143</f>
        <v>.</v>
      </c>
      <c r="D143" s="1" t="s">
        <v>225</v>
      </c>
      <c r="E143" s="1" t="s">
        <v>17</v>
      </c>
      <c r="F143" s="1" t="s">
        <v>18</v>
      </c>
      <c r="G143" s="1" t="s">
        <v>208</v>
      </c>
      <c r="H143" s="1" t="s">
        <v>18</v>
      </c>
      <c r="I143" s="1" t="s">
        <v>208</v>
      </c>
      <c r="J143" s="1" t="s">
        <v>209</v>
      </c>
      <c r="K143" s="1" t="s">
        <v>209</v>
      </c>
      <c r="L143" s="1" t="s">
        <v>22</v>
      </c>
      <c r="M143" s="1" t="s">
        <v>210</v>
      </c>
      <c r="N143" s="1" t="s">
        <v>208</v>
      </c>
      <c r="O143" s="1" t="s">
        <v>18</v>
      </c>
      <c r="P143" s="1" t="e">
        <f t="shared" si="6"/>
        <v>#REF!</v>
      </c>
    </row>
    <row r="144">
      <c r="A144" s="1" t="s">
        <v>91</v>
      </c>
      <c r="B144" s="1" t="str">
        <f>K144</f>
        <v xml:space="preserve">15 Property</v>
      </c>
      <c r="C144" s="1" t="str">
        <f>L144</f>
        <v>.</v>
      </c>
      <c r="D144" s="1" t="s">
        <v>226</v>
      </c>
      <c r="E144" s="1" t="s">
        <v>17</v>
      </c>
      <c r="F144" s="1" t="s">
        <v>18</v>
      </c>
      <c r="G144" s="1" t="s">
        <v>208</v>
      </c>
      <c r="H144" s="1" t="s">
        <v>18</v>
      </c>
      <c r="I144" s="1" t="s">
        <v>208</v>
      </c>
      <c r="J144" s="1" t="s">
        <v>209</v>
      </c>
      <c r="K144" s="1" t="s">
        <v>209</v>
      </c>
      <c r="L144" s="1" t="s">
        <v>22</v>
      </c>
      <c r="M144" s="1" t="s">
        <v>210</v>
      </c>
      <c r="N144" s="1" t="s">
        <v>208</v>
      </c>
      <c r="O144" s="1" t="s">
        <v>18</v>
      </c>
      <c r="P144" s="1" t="e">
        <f t="shared" si="6"/>
        <v>#REF!</v>
      </c>
    </row>
    <row r="145">
      <c r="A145" s="1" t="s">
        <v>91</v>
      </c>
      <c r="B145" s="1" t="str">
        <f>K145</f>
        <v xml:space="preserve">15 Property</v>
      </c>
      <c r="C145" s="1" t="str">
        <f>L145</f>
        <v>.</v>
      </c>
      <c r="D145" s="1" t="s">
        <v>227</v>
      </c>
      <c r="E145" s="1" t="s">
        <v>17</v>
      </c>
      <c r="F145" s="1" t="s">
        <v>18</v>
      </c>
      <c r="G145" s="1" t="s">
        <v>208</v>
      </c>
      <c r="H145" s="1" t="s">
        <v>18</v>
      </c>
      <c r="I145" s="1" t="s">
        <v>208</v>
      </c>
      <c r="J145" s="1" t="s">
        <v>209</v>
      </c>
      <c r="K145" s="1" t="s">
        <v>209</v>
      </c>
      <c r="L145" s="1" t="s">
        <v>22</v>
      </c>
      <c r="M145" s="1" t="s">
        <v>210</v>
      </c>
      <c r="N145" s="1" t="s">
        <v>208</v>
      </c>
      <c r="O145" s="1" t="s">
        <v>18</v>
      </c>
      <c r="P145" s="1" t="e">
        <f t="shared" si="6"/>
        <v>#REF!</v>
      </c>
    </row>
    <row r="146">
      <c r="A146" s="1" t="s">
        <v>91</v>
      </c>
      <c r="B146" s="1" t="str">
        <f>K146</f>
        <v xml:space="preserve">15 Property</v>
      </c>
      <c r="C146" s="1" t="str">
        <f>L146</f>
        <v>.</v>
      </c>
      <c r="D146" s="1" t="s">
        <v>228</v>
      </c>
      <c r="E146" s="1" t="s">
        <v>17</v>
      </c>
      <c r="F146" s="1" t="s">
        <v>18</v>
      </c>
      <c r="G146" s="1" t="s">
        <v>208</v>
      </c>
      <c r="H146" s="1" t="s">
        <v>18</v>
      </c>
      <c r="I146" s="1" t="s">
        <v>208</v>
      </c>
      <c r="J146" s="1" t="s">
        <v>209</v>
      </c>
      <c r="K146" s="1" t="s">
        <v>209</v>
      </c>
      <c r="L146" s="1" t="s">
        <v>22</v>
      </c>
      <c r="M146" s="1" t="s">
        <v>210</v>
      </c>
      <c r="N146" s="1" t="s">
        <v>208</v>
      </c>
      <c r="O146" s="1" t="s">
        <v>18</v>
      </c>
      <c r="P146" s="1" t="e">
        <f t="shared" si="6"/>
        <v>#REF!</v>
      </c>
    </row>
    <row r="147" s="13" customFormat="1">
      <c r="A147" s="1" t="s">
        <v>91</v>
      </c>
      <c r="B147" s="1" t="str">
        <f>K147</f>
        <v xml:space="preserve">15 Property</v>
      </c>
      <c r="C147" s="1" t="str">
        <f>L147</f>
        <v>.</v>
      </c>
      <c r="D147" s="1" t="s">
        <v>229</v>
      </c>
      <c r="E147" s="1" t="s">
        <v>17</v>
      </c>
      <c r="F147" s="1" t="s">
        <v>18</v>
      </c>
      <c r="G147" s="1" t="s">
        <v>208</v>
      </c>
      <c r="H147" s="1" t="s">
        <v>18</v>
      </c>
      <c r="I147" s="1" t="s">
        <v>208</v>
      </c>
      <c r="J147" s="1" t="s">
        <v>209</v>
      </c>
      <c r="K147" s="1" t="s">
        <v>209</v>
      </c>
      <c r="L147" s="1" t="s">
        <v>22</v>
      </c>
      <c r="M147" s="1" t="s">
        <v>210</v>
      </c>
      <c r="N147" s="1" t="s">
        <v>208</v>
      </c>
      <c r="O147" s="1" t="s">
        <v>18</v>
      </c>
      <c r="P147" s="1" t="e">
        <f t="shared" si="6"/>
        <v>#REF!</v>
      </c>
    </row>
    <row r="148">
      <c r="A148" s="1" t="s">
        <v>91</v>
      </c>
      <c r="B148" s="1" t="str">
        <f>K148</f>
        <v xml:space="preserve">15 Property</v>
      </c>
      <c r="C148" s="1" t="str">
        <f>L148</f>
        <v>.</v>
      </c>
      <c r="D148" s="1" t="s">
        <v>230</v>
      </c>
      <c r="E148" s="1" t="s">
        <v>17</v>
      </c>
      <c r="F148" s="1" t="s">
        <v>18</v>
      </c>
      <c r="G148" s="1" t="s">
        <v>208</v>
      </c>
      <c r="H148" s="1" t="s">
        <v>18</v>
      </c>
      <c r="I148" s="1" t="s">
        <v>208</v>
      </c>
      <c r="J148" s="1" t="s">
        <v>209</v>
      </c>
      <c r="K148" s="1" t="s">
        <v>209</v>
      </c>
      <c r="L148" s="1" t="s">
        <v>22</v>
      </c>
      <c r="M148" s="1" t="s">
        <v>210</v>
      </c>
      <c r="N148" s="1" t="s">
        <v>208</v>
      </c>
      <c r="O148" s="1" t="s">
        <v>18</v>
      </c>
      <c r="P148" s="1" t="e">
        <f t="shared" si="6"/>
        <v>#REF!</v>
      </c>
    </row>
    <row r="149">
      <c r="A149" s="1" t="s">
        <v>91</v>
      </c>
      <c r="B149" s="1" t="str">
        <f>K149</f>
        <v xml:space="preserve">15 Property</v>
      </c>
      <c r="C149" s="1" t="str">
        <f>L149</f>
        <v>.</v>
      </c>
      <c r="D149" s="1" t="s">
        <v>231</v>
      </c>
      <c r="E149" s="1" t="s">
        <v>17</v>
      </c>
      <c r="F149" s="1" t="s">
        <v>18</v>
      </c>
      <c r="G149" s="1" t="s">
        <v>208</v>
      </c>
      <c r="H149" s="1" t="s">
        <v>18</v>
      </c>
      <c r="I149" s="1" t="s">
        <v>208</v>
      </c>
      <c r="J149" s="1" t="s">
        <v>209</v>
      </c>
      <c r="K149" s="1" t="s">
        <v>209</v>
      </c>
      <c r="L149" s="1" t="s">
        <v>22</v>
      </c>
      <c r="M149" s="1" t="s">
        <v>210</v>
      </c>
      <c r="N149" s="1" t="s">
        <v>208</v>
      </c>
      <c r="O149" s="1" t="s">
        <v>18</v>
      </c>
      <c r="P149" s="1" t="e">
        <f t="shared" si="6"/>
        <v>#REF!</v>
      </c>
    </row>
    <row r="150">
      <c r="A150" s="1" t="s">
        <v>91</v>
      </c>
      <c r="B150" s="1" t="str">
        <f>K150</f>
        <v xml:space="preserve">15 Property</v>
      </c>
      <c r="C150" s="1" t="str">
        <f>L150</f>
        <v>.</v>
      </c>
      <c r="D150" s="1" t="s">
        <v>232</v>
      </c>
      <c r="E150" s="1" t="s">
        <v>17</v>
      </c>
      <c r="F150" s="1" t="s">
        <v>18</v>
      </c>
      <c r="G150" s="1" t="s">
        <v>208</v>
      </c>
      <c r="H150" s="1" t="s">
        <v>18</v>
      </c>
      <c r="I150" s="1" t="s">
        <v>208</v>
      </c>
      <c r="J150" s="1" t="s">
        <v>209</v>
      </c>
      <c r="K150" s="1" t="s">
        <v>209</v>
      </c>
      <c r="L150" s="1" t="s">
        <v>22</v>
      </c>
      <c r="M150" s="1" t="s">
        <v>210</v>
      </c>
      <c r="N150" s="1" t="s">
        <v>208</v>
      </c>
      <c r="O150" s="1" t="s">
        <v>18</v>
      </c>
      <c r="P150" s="1" t="e">
        <f t="shared" si="6"/>
        <v>#REF!</v>
      </c>
    </row>
    <row r="151">
      <c r="A151" s="1" t="s">
        <v>91</v>
      </c>
      <c r="B151" s="1" t="str">
        <f>K151</f>
        <v xml:space="preserve">15 Property</v>
      </c>
      <c r="C151" s="1" t="str">
        <f>L151</f>
        <v>.</v>
      </c>
      <c r="D151" s="1" t="s">
        <v>233</v>
      </c>
      <c r="E151" s="1" t="s">
        <v>17</v>
      </c>
      <c r="F151" s="1" t="s">
        <v>18</v>
      </c>
      <c r="G151" s="1" t="s">
        <v>208</v>
      </c>
      <c r="H151" s="1" t="s">
        <v>18</v>
      </c>
      <c r="I151" s="1" t="s">
        <v>208</v>
      </c>
      <c r="J151" s="1" t="s">
        <v>209</v>
      </c>
      <c r="K151" s="1" t="s">
        <v>209</v>
      </c>
      <c r="L151" s="1" t="s">
        <v>22</v>
      </c>
      <c r="M151" s="1" t="s">
        <v>210</v>
      </c>
      <c r="N151" s="1" t="s">
        <v>208</v>
      </c>
      <c r="O151" s="1" t="s">
        <v>18</v>
      </c>
      <c r="P151" s="1" t="e">
        <f t="shared" si="6"/>
        <v>#REF!</v>
      </c>
    </row>
    <row r="152">
      <c r="A152" s="1" t="s">
        <v>91</v>
      </c>
      <c r="B152" s="1" t="str">
        <f>K152</f>
        <v xml:space="preserve">15 Property</v>
      </c>
      <c r="C152" s="1" t="str">
        <f>L152</f>
        <v>.</v>
      </c>
      <c r="D152" s="1" t="s">
        <v>234</v>
      </c>
      <c r="E152" s="1" t="s">
        <v>17</v>
      </c>
      <c r="F152" s="1" t="s">
        <v>18</v>
      </c>
      <c r="G152" s="1" t="s">
        <v>208</v>
      </c>
      <c r="H152" s="1" t="s">
        <v>18</v>
      </c>
      <c r="I152" s="1" t="s">
        <v>208</v>
      </c>
      <c r="J152" s="1" t="s">
        <v>209</v>
      </c>
      <c r="K152" s="1" t="s">
        <v>209</v>
      </c>
      <c r="L152" s="1" t="s">
        <v>22</v>
      </c>
      <c r="M152" s="1" t="s">
        <v>210</v>
      </c>
      <c r="N152" s="1" t="s">
        <v>208</v>
      </c>
      <c r="O152" s="1" t="s">
        <v>18</v>
      </c>
      <c r="P152" s="1" t="e">
        <f t="shared" si="6"/>
        <v>#REF!</v>
      </c>
    </row>
    <row r="153">
      <c r="A153" s="1" t="s">
        <v>91</v>
      </c>
      <c r="B153" s="1" t="str">
        <f>K153</f>
        <v xml:space="preserve">15 Property</v>
      </c>
      <c r="C153" s="1" t="str">
        <f>L153</f>
        <v>.</v>
      </c>
      <c r="D153" s="1" t="s">
        <v>235</v>
      </c>
      <c r="E153" s="1" t="s">
        <v>17</v>
      </c>
      <c r="F153" s="1" t="s">
        <v>18</v>
      </c>
      <c r="G153" s="1" t="s">
        <v>208</v>
      </c>
      <c r="H153" s="1" t="s">
        <v>18</v>
      </c>
      <c r="I153" s="1" t="s">
        <v>208</v>
      </c>
      <c r="J153" s="1" t="s">
        <v>209</v>
      </c>
      <c r="K153" s="1" t="s">
        <v>209</v>
      </c>
      <c r="L153" s="1" t="s">
        <v>22</v>
      </c>
      <c r="M153" s="1" t="s">
        <v>210</v>
      </c>
      <c r="N153" s="1" t="s">
        <v>208</v>
      </c>
      <c r="O153" s="1" t="s">
        <v>18</v>
      </c>
      <c r="P153" s="1" t="e">
        <f t="shared" si="6"/>
        <v>#REF!</v>
      </c>
    </row>
    <row r="154">
      <c r="A154" s="1" t="s">
        <v>91</v>
      </c>
      <c r="B154" s="1" t="str">
        <f>K154</f>
        <v xml:space="preserve">15 Property</v>
      </c>
      <c r="C154" s="1" t="str">
        <f>L154</f>
        <v>.</v>
      </c>
      <c r="D154" s="1" t="s">
        <v>236</v>
      </c>
      <c r="E154" s="1" t="s">
        <v>17</v>
      </c>
      <c r="F154" s="1" t="s">
        <v>18</v>
      </c>
      <c r="G154" s="1" t="s">
        <v>208</v>
      </c>
      <c r="H154" s="1" t="s">
        <v>18</v>
      </c>
      <c r="I154" s="1" t="s">
        <v>208</v>
      </c>
      <c r="J154" s="1" t="s">
        <v>209</v>
      </c>
      <c r="K154" s="1" t="s">
        <v>209</v>
      </c>
      <c r="L154" s="1" t="s">
        <v>22</v>
      </c>
      <c r="M154" s="1" t="s">
        <v>210</v>
      </c>
      <c r="N154" s="1" t="s">
        <v>208</v>
      </c>
      <c r="O154" s="1" t="s">
        <v>18</v>
      </c>
      <c r="P154" s="1" t="e">
        <f t="shared" si="6"/>
        <v>#REF!</v>
      </c>
    </row>
    <row r="155">
      <c r="A155" s="1" t="s">
        <v>91</v>
      </c>
      <c r="B155" s="1" t="str">
        <f>K155</f>
        <v xml:space="preserve">15 Property</v>
      </c>
      <c r="C155" s="1" t="str">
        <f>L155</f>
        <v>.</v>
      </c>
      <c r="D155" s="1" t="s">
        <v>237</v>
      </c>
      <c r="E155" s="1" t="s">
        <v>238</v>
      </c>
      <c r="F155" s="1" t="s">
        <v>18</v>
      </c>
      <c r="G155" s="1" t="s">
        <v>208</v>
      </c>
      <c r="H155" s="1" t="s">
        <v>238</v>
      </c>
      <c r="I155" s="1" t="s">
        <v>208</v>
      </c>
      <c r="J155" s="1" t="s">
        <v>209</v>
      </c>
      <c r="K155" s="1" t="s">
        <v>209</v>
      </c>
      <c r="L155" s="1" t="s">
        <v>22</v>
      </c>
      <c r="M155" s="1" t="s">
        <v>210</v>
      </c>
      <c r="N155" s="1" t="s">
        <v>208</v>
      </c>
      <c r="O155" s="1" t="s">
        <v>18</v>
      </c>
      <c r="P155" s="1" t="e">
        <f t="shared" si="6"/>
        <v>#REF!</v>
      </c>
    </row>
    <row r="156">
      <c r="A156" s="1" t="s">
        <v>91</v>
      </c>
      <c r="B156" s="1" t="str">
        <f>K156</f>
        <v xml:space="preserve">15 Property</v>
      </c>
      <c r="C156" s="1" t="str">
        <f>L156</f>
        <v>.</v>
      </c>
      <c r="D156" s="1" t="s">
        <v>239</v>
      </c>
      <c r="E156" s="1" t="s">
        <v>17</v>
      </c>
      <c r="F156" s="1" t="s">
        <v>18</v>
      </c>
      <c r="G156" s="1" t="s">
        <v>208</v>
      </c>
      <c r="H156" s="1" t="s">
        <v>18</v>
      </c>
      <c r="I156" s="1" t="s">
        <v>208</v>
      </c>
      <c r="J156" s="1" t="s">
        <v>209</v>
      </c>
      <c r="K156" s="1" t="s">
        <v>209</v>
      </c>
      <c r="L156" s="1" t="s">
        <v>22</v>
      </c>
      <c r="M156" s="1" t="s">
        <v>210</v>
      </c>
      <c r="N156" s="1" t="s">
        <v>208</v>
      </c>
      <c r="O156" s="1" t="s">
        <v>18</v>
      </c>
      <c r="P156" s="1" t="e">
        <f t="shared" si="6"/>
        <v>#REF!</v>
      </c>
    </row>
    <row r="157">
      <c r="A157" s="1" t="s">
        <v>91</v>
      </c>
      <c r="B157" s="1" t="str">
        <f>K157</f>
        <v xml:space="preserve">15 Property</v>
      </c>
      <c r="C157" s="1" t="str">
        <f>L157</f>
        <v>.</v>
      </c>
      <c r="D157" s="5" t="s">
        <v>240</v>
      </c>
      <c r="E157" s="1"/>
      <c r="F157" s="1"/>
      <c r="G157" s="1"/>
      <c r="H157" s="1"/>
      <c r="I157" s="1"/>
      <c r="J157" s="1" t="s">
        <v>209</v>
      </c>
      <c r="K157" s="1" t="s">
        <v>209</v>
      </c>
      <c r="L157" s="1" t="s">
        <v>22</v>
      </c>
      <c r="M157" s="1" t="s">
        <v>210</v>
      </c>
      <c r="N157" s="1" t="s">
        <v>208</v>
      </c>
      <c r="O157" s="1" t="s">
        <v>18</v>
      </c>
      <c r="P157" s="1" t="e">
        <f t="shared" si="6"/>
        <v>#REF!</v>
      </c>
    </row>
    <row r="158">
      <c r="A158" s="1" t="s">
        <v>91</v>
      </c>
      <c r="B158" s="1" t="str">
        <f>K158</f>
        <v xml:space="preserve">16 Finance</v>
      </c>
      <c r="C158" s="1" t="str">
        <f>L158</f>
        <v>.</v>
      </c>
      <c r="D158" s="5" t="s">
        <v>241</v>
      </c>
      <c r="E158" s="1"/>
      <c r="F158" s="1"/>
      <c r="G158" s="1"/>
      <c r="H158" s="1"/>
      <c r="I158" s="1"/>
      <c r="J158" s="1" t="s">
        <v>242</v>
      </c>
      <c r="K158" s="1" t="s">
        <v>242</v>
      </c>
      <c r="L158" s="1" t="s">
        <v>22</v>
      </c>
      <c r="M158" s="1" t="s">
        <v>210</v>
      </c>
      <c r="N158" s="1" t="s">
        <v>243</v>
      </c>
      <c r="O158" s="1" t="s">
        <v>18</v>
      </c>
      <c r="P158" s="1" t="e">
        <f t="shared" si="6"/>
        <v>#REF!</v>
      </c>
    </row>
    <row r="159">
      <c r="A159" s="1" t="s">
        <v>91</v>
      </c>
      <c r="B159" s="1" t="str">
        <f>K159</f>
        <v xml:space="preserve">16 Finance</v>
      </c>
      <c r="C159" s="1" t="str">
        <f>L159</f>
        <v>.</v>
      </c>
      <c r="D159" s="1" t="s">
        <v>244</v>
      </c>
      <c r="E159" s="1" t="s">
        <v>17</v>
      </c>
      <c r="F159" s="1" t="s">
        <v>18</v>
      </c>
      <c r="G159" s="1" t="s">
        <v>243</v>
      </c>
      <c r="H159" s="1" t="s">
        <v>18</v>
      </c>
      <c r="I159" s="1" t="s">
        <v>243</v>
      </c>
      <c r="J159" s="1" t="s">
        <v>242</v>
      </c>
      <c r="K159" s="1" t="s">
        <v>242</v>
      </c>
      <c r="L159" s="1" t="s">
        <v>22</v>
      </c>
      <c r="M159" s="1" t="s">
        <v>210</v>
      </c>
      <c r="N159" s="1" t="s">
        <v>243</v>
      </c>
      <c r="O159" s="1" t="s">
        <v>18</v>
      </c>
      <c r="P159" s="1" t="e">
        <f t="shared" si="6"/>
        <v>#REF!</v>
      </c>
    </row>
    <row r="160">
      <c r="A160" s="1" t="s">
        <v>91</v>
      </c>
      <c r="B160" s="1" t="str">
        <f>K160</f>
        <v xml:space="preserve">16 Finance</v>
      </c>
      <c r="C160" s="1" t="str">
        <f>L160</f>
        <v>.</v>
      </c>
      <c r="D160" s="1" t="s">
        <v>245</v>
      </c>
      <c r="E160" s="1" t="s">
        <v>27</v>
      </c>
      <c r="F160" s="1" t="s">
        <v>18</v>
      </c>
      <c r="G160" s="1" t="s">
        <v>243</v>
      </c>
      <c r="H160" s="1" t="s">
        <v>18</v>
      </c>
      <c r="I160" s="1" t="s">
        <v>243</v>
      </c>
      <c r="J160" s="1" t="s">
        <v>242</v>
      </c>
      <c r="K160" s="1" t="s">
        <v>242</v>
      </c>
      <c r="L160" s="1" t="s">
        <v>22</v>
      </c>
      <c r="M160" s="1" t="s">
        <v>210</v>
      </c>
      <c r="N160" s="1" t="s">
        <v>243</v>
      </c>
      <c r="O160" s="1" t="s">
        <v>18</v>
      </c>
      <c r="P160" s="1" t="e">
        <f t="shared" si="6"/>
        <v>#REF!</v>
      </c>
    </row>
    <row r="161">
      <c r="A161" s="1" t="s">
        <v>91</v>
      </c>
      <c r="B161" s="1" t="str">
        <f>K161</f>
        <v xml:space="preserve">16 Finance</v>
      </c>
      <c r="C161" s="1" t="str">
        <f>L161</f>
        <v>.</v>
      </c>
      <c r="D161" s="1" t="s">
        <v>246</v>
      </c>
      <c r="E161" s="1" t="s">
        <v>17</v>
      </c>
      <c r="F161" s="1" t="s">
        <v>18</v>
      </c>
      <c r="G161" s="1" t="s">
        <v>243</v>
      </c>
      <c r="H161" s="1" t="s">
        <v>18</v>
      </c>
      <c r="I161" s="1" t="s">
        <v>243</v>
      </c>
      <c r="J161" s="1" t="s">
        <v>242</v>
      </c>
      <c r="K161" s="1" t="s">
        <v>242</v>
      </c>
      <c r="L161" s="1" t="s">
        <v>22</v>
      </c>
      <c r="M161" s="1" t="s">
        <v>210</v>
      </c>
      <c r="N161" s="1" t="s">
        <v>243</v>
      </c>
      <c r="O161" s="1" t="s">
        <v>18</v>
      </c>
      <c r="P161" s="1" t="e">
        <f t="shared" si="6"/>
        <v>#REF!</v>
      </c>
    </row>
    <row r="162">
      <c r="A162" s="1" t="s">
        <v>91</v>
      </c>
      <c r="B162" s="1" t="str">
        <f>K162</f>
        <v xml:space="preserve">16 Finance</v>
      </c>
      <c r="C162" s="1" t="str">
        <f>L162</f>
        <v>.</v>
      </c>
      <c r="D162" t="s">
        <v>247</v>
      </c>
      <c r="E162" s="1" t="s">
        <v>17</v>
      </c>
      <c r="F162" s="1" t="s">
        <v>18</v>
      </c>
      <c r="G162" s="1" t="s">
        <v>243</v>
      </c>
      <c r="H162" s="1" t="s">
        <v>18</v>
      </c>
      <c r="I162" s="1" t="s">
        <v>243</v>
      </c>
      <c r="J162" s="1" t="s">
        <v>242</v>
      </c>
      <c r="K162" s="1" t="s">
        <v>242</v>
      </c>
      <c r="L162" s="1" t="s">
        <v>22</v>
      </c>
      <c r="M162" s="1" t="s">
        <v>210</v>
      </c>
      <c r="N162" s="1" t="s">
        <v>243</v>
      </c>
      <c r="O162" s="1" t="s">
        <v>18</v>
      </c>
      <c r="P162" s="1" t="e">
        <f t="shared" si="6"/>
        <v>#REF!</v>
      </c>
    </row>
    <row r="163">
      <c r="A163" s="1" t="s">
        <v>91</v>
      </c>
      <c r="B163" s="1" t="str">
        <f>K163</f>
        <v xml:space="preserve">16 Finance</v>
      </c>
      <c r="C163" s="1" t="str">
        <f>L163</f>
        <v>.</v>
      </c>
      <c r="D163" s="1" t="s">
        <v>248</v>
      </c>
      <c r="E163" s="1" t="s">
        <v>17</v>
      </c>
      <c r="F163" s="1" t="s">
        <v>18</v>
      </c>
      <c r="G163" s="1" t="s">
        <v>243</v>
      </c>
      <c r="H163" s="1" t="s">
        <v>18</v>
      </c>
      <c r="I163" s="1" t="s">
        <v>243</v>
      </c>
      <c r="J163" s="1" t="s">
        <v>242</v>
      </c>
      <c r="K163" s="1" t="s">
        <v>242</v>
      </c>
      <c r="L163" s="1" t="s">
        <v>22</v>
      </c>
      <c r="M163" s="1" t="s">
        <v>210</v>
      </c>
      <c r="N163" s="1" t="s">
        <v>243</v>
      </c>
      <c r="O163" s="1" t="s">
        <v>18</v>
      </c>
      <c r="P163" s="1" t="e">
        <f t="shared" si="6"/>
        <v>#REF!</v>
      </c>
    </row>
    <row r="164">
      <c r="A164" s="1" t="s">
        <v>91</v>
      </c>
      <c r="B164" s="1" t="str">
        <f>K164</f>
        <v xml:space="preserve">16 Finance</v>
      </c>
      <c r="C164" s="1" t="str">
        <f>L164</f>
        <v>.</v>
      </c>
      <c r="D164" s="1" t="s">
        <v>249</v>
      </c>
      <c r="E164" s="1" t="s">
        <v>17</v>
      </c>
      <c r="F164" s="1" t="s">
        <v>18</v>
      </c>
      <c r="G164" s="1" t="s">
        <v>243</v>
      </c>
      <c r="H164" s="1" t="s">
        <v>18</v>
      </c>
      <c r="I164" s="1" t="s">
        <v>243</v>
      </c>
      <c r="J164" s="1" t="s">
        <v>242</v>
      </c>
      <c r="K164" s="1" t="s">
        <v>242</v>
      </c>
      <c r="L164" s="1" t="s">
        <v>22</v>
      </c>
      <c r="M164" s="1" t="s">
        <v>210</v>
      </c>
      <c r="N164" s="1" t="s">
        <v>243</v>
      </c>
      <c r="O164" s="1" t="s">
        <v>18</v>
      </c>
      <c r="P164" s="1" t="e">
        <f t="shared" si="6"/>
        <v>#REF!</v>
      </c>
    </row>
    <row r="165">
      <c r="A165" s="1" t="s">
        <v>91</v>
      </c>
      <c r="B165" s="1" t="str">
        <f>K165</f>
        <v xml:space="preserve">16 Finance</v>
      </c>
      <c r="C165" s="1" t="str">
        <f>L165</f>
        <v>.</v>
      </c>
      <c r="D165" s="1" t="s">
        <v>250</v>
      </c>
      <c r="E165" s="1" t="s">
        <v>17</v>
      </c>
      <c r="F165" s="1" t="s">
        <v>18</v>
      </c>
      <c r="G165" s="1" t="s">
        <v>243</v>
      </c>
      <c r="H165" s="1" t="s">
        <v>18</v>
      </c>
      <c r="I165" s="1" t="s">
        <v>243</v>
      </c>
      <c r="J165" s="1" t="s">
        <v>242</v>
      </c>
      <c r="K165" s="1" t="s">
        <v>242</v>
      </c>
      <c r="L165" s="1" t="s">
        <v>22</v>
      </c>
      <c r="M165" s="1" t="s">
        <v>210</v>
      </c>
      <c r="N165" s="1" t="s">
        <v>243</v>
      </c>
      <c r="O165" s="1" t="s">
        <v>18</v>
      </c>
      <c r="P165" s="1" t="e">
        <f t="shared" si="6"/>
        <v>#REF!</v>
      </c>
    </row>
    <row r="166">
      <c r="A166" s="1" t="s">
        <v>91</v>
      </c>
      <c r="B166" s="1" t="str">
        <f>K166</f>
        <v xml:space="preserve">16 Finance</v>
      </c>
      <c r="C166" s="1" t="str">
        <f>L166</f>
        <v>.</v>
      </c>
      <c r="D166" s="1" t="s">
        <v>251</v>
      </c>
      <c r="E166" s="1" t="s">
        <v>17</v>
      </c>
      <c r="F166" s="1" t="s">
        <v>18</v>
      </c>
      <c r="G166" s="1" t="s">
        <v>243</v>
      </c>
      <c r="H166" s="1" t="s">
        <v>18</v>
      </c>
      <c r="I166" s="1" t="s">
        <v>243</v>
      </c>
      <c r="J166" s="1" t="s">
        <v>242</v>
      </c>
      <c r="K166" s="1" t="s">
        <v>242</v>
      </c>
      <c r="L166" s="1" t="s">
        <v>22</v>
      </c>
      <c r="M166" s="1" t="s">
        <v>210</v>
      </c>
      <c r="N166" s="1" t="s">
        <v>243</v>
      </c>
      <c r="O166" s="1" t="s">
        <v>18</v>
      </c>
      <c r="P166" s="1" t="e">
        <f t="shared" si="6"/>
        <v>#REF!</v>
      </c>
    </row>
    <row r="167">
      <c r="A167" s="1" t="s">
        <v>91</v>
      </c>
      <c r="B167" s="1" t="str">
        <f>K167</f>
        <v xml:space="preserve">16 Finance</v>
      </c>
      <c r="C167" s="1" t="str">
        <f>L167</f>
        <v>.</v>
      </c>
      <c r="D167" s="1" t="s">
        <v>252</v>
      </c>
      <c r="E167" s="1" t="s">
        <v>17</v>
      </c>
      <c r="F167" s="1" t="s">
        <v>18</v>
      </c>
      <c r="G167" s="1" t="s">
        <v>243</v>
      </c>
      <c r="H167" s="1" t="s">
        <v>18</v>
      </c>
      <c r="I167" s="1" t="s">
        <v>243</v>
      </c>
      <c r="J167" s="1" t="s">
        <v>242</v>
      </c>
      <c r="K167" s="1" t="s">
        <v>242</v>
      </c>
      <c r="L167" s="1" t="s">
        <v>22</v>
      </c>
      <c r="M167" s="1" t="s">
        <v>210</v>
      </c>
      <c r="N167" s="1" t="s">
        <v>243</v>
      </c>
      <c r="O167" s="1" t="s">
        <v>18</v>
      </c>
      <c r="P167" s="1" t="e">
        <f t="shared" si="6"/>
        <v>#REF!</v>
      </c>
    </row>
    <row r="168">
      <c r="A168" s="1" t="s">
        <v>91</v>
      </c>
      <c r="B168" s="1" t="str">
        <f>K168</f>
        <v xml:space="preserve">17 Archives</v>
      </c>
      <c r="C168" s="1" t="str">
        <f>L168</f>
        <v>.</v>
      </c>
      <c r="D168" s="1" t="s">
        <v>253</v>
      </c>
      <c r="E168" s="1" t="s">
        <v>17</v>
      </c>
      <c r="F168" s="1" t="s">
        <v>18</v>
      </c>
      <c r="G168" s="1" t="s">
        <v>254</v>
      </c>
      <c r="H168" s="1" t="s">
        <v>18</v>
      </c>
      <c r="I168" s="1" t="s">
        <v>254</v>
      </c>
      <c r="J168" s="1" t="s">
        <v>255</v>
      </c>
      <c r="K168" s="1" t="s">
        <v>255</v>
      </c>
      <c r="L168" s="1" t="s">
        <v>22</v>
      </c>
      <c r="M168" s="1" t="s">
        <v>210</v>
      </c>
      <c r="N168" s="1" t="s">
        <v>243</v>
      </c>
      <c r="O168" s="1" t="s">
        <v>95</v>
      </c>
      <c r="P168" s="1" t="e">
        <f t="shared" si="6"/>
        <v>#REF!</v>
      </c>
    </row>
    <row r="169">
      <c r="A169" s="1" t="s">
        <v>91</v>
      </c>
      <c r="B169" s="1" t="str">
        <f>K169</f>
        <v xml:space="preserve">17 Archives</v>
      </c>
      <c r="C169" s="1" t="str">
        <f>L169</f>
        <v>.</v>
      </c>
      <c r="D169" s="1" t="s">
        <v>256</v>
      </c>
      <c r="E169" s="1" t="s">
        <v>17</v>
      </c>
      <c r="F169" s="1" t="s">
        <v>18</v>
      </c>
      <c r="G169" s="1" t="s">
        <v>254</v>
      </c>
      <c r="H169" s="1" t="s">
        <v>18</v>
      </c>
      <c r="I169" s="1" t="s">
        <v>254</v>
      </c>
      <c r="J169" s="1" t="s">
        <v>255</v>
      </c>
      <c r="K169" s="1" t="s">
        <v>255</v>
      </c>
      <c r="L169" s="1" t="s">
        <v>22</v>
      </c>
      <c r="M169" s="1" t="s">
        <v>210</v>
      </c>
      <c r="N169" s="1" t="s">
        <v>243</v>
      </c>
      <c r="O169" s="1" t="s">
        <v>95</v>
      </c>
      <c r="P169" s="1" t="e">
        <f t="shared" si="6"/>
        <v>#REF!</v>
      </c>
    </row>
    <row r="170">
      <c r="A170" s="1" t="s">
        <v>91</v>
      </c>
      <c r="B170" s="1" t="str">
        <f>K170</f>
        <v xml:space="preserve">17 Archives</v>
      </c>
      <c r="C170" s="1" t="str">
        <f>L170</f>
        <v>.</v>
      </c>
      <c r="D170" s="5" t="s">
        <v>257</v>
      </c>
      <c r="E170" s="1"/>
      <c r="F170" s="1"/>
      <c r="G170" s="1"/>
      <c r="H170" s="1"/>
      <c r="I170" s="1"/>
      <c r="J170" s="1" t="s">
        <v>255</v>
      </c>
      <c r="K170" s="1" t="s">
        <v>255</v>
      </c>
      <c r="L170" s="1" t="s">
        <v>22</v>
      </c>
      <c r="M170" s="1" t="s">
        <v>210</v>
      </c>
      <c r="N170" s="1" t="s">
        <v>243</v>
      </c>
      <c r="O170" s="1" t="s">
        <v>95</v>
      </c>
      <c r="P170" s="1" t="e">
        <f t="shared" si="6"/>
        <v>#REF!</v>
      </c>
    </row>
    <row r="171">
      <c r="A171" s="1" t="s">
        <v>91</v>
      </c>
      <c r="B171" s="1" t="str">
        <f>K171</f>
        <v xml:space="preserve">17 Archives</v>
      </c>
      <c r="C171" s="1" t="str">
        <f>L171</f>
        <v>.</v>
      </c>
      <c r="D171" s="1" t="s">
        <v>258</v>
      </c>
      <c r="E171" s="1" t="s">
        <v>17</v>
      </c>
      <c r="F171" s="1" t="s">
        <v>18</v>
      </c>
      <c r="G171" s="1" t="s">
        <v>254</v>
      </c>
      <c r="H171" s="1" t="s">
        <v>18</v>
      </c>
      <c r="I171" s="1" t="s">
        <v>254</v>
      </c>
      <c r="J171" s="1" t="s">
        <v>255</v>
      </c>
      <c r="K171" s="1" t="s">
        <v>255</v>
      </c>
      <c r="L171" s="1" t="s">
        <v>22</v>
      </c>
      <c r="M171" s="1" t="s">
        <v>210</v>
      </c>
      <c r="N171" s="1" t="s">
        <v>243</v>
      </c>
      <c r="O171" s="1" t="s">
        <v>95</v>
      </c>
      <c r="P171" s="1" t="e">
        <f t="shared" si="6"/>
        <v>#REF!</v>
      </c>
    </row>
    <row r="172">
      <c r="A172" s="1" t="s">
        <v>91</v>
      </c>
      <c r="B172" s="1" t="str">
        <f>K172</f>
        <v xml:space="preserve">18 Administration</v>
      </c>
      <c r="C172" s="1" t="str">
        <f>L172</f>
        <v>.</v>
      </c>
      <c r="D172" s="14" t="s">
        <v>259</v>
      </c>
      <c r="E172" s="1" t="s">
        <v>17</v>
      </c>
      <c r="F172" s="1" t="s">
        <v>18</v>
      </c>
      <c r="G172" s="1" t="s">
        <v>260</v>
      </c>
      <c r="H172" s="1" t="s">
        <v>18</v>
      </c>
      <c r="I172" s="1" t="s">
        <v>260</v>
      </c>
      <c r="J172" s="1" t="s">
        <v>261</v>
      </c>
      <c r="K172" s="1" t="s">
        <v>261</v>
      </c>
      <c r="L172" s="1" t="s">
        <v>22</v>
      </c>
      <c r="M172" s="1" t="s">
        <v>210</v>
      </c>
      <c r="N172" s="1" t="s">
        <v>262</v>
      </c>
      <c r="O172" s="1" t="s">
        <v>18</v>
      </c>
      <c r="P172" s="1" t="e">
        <f t="shared" si="6"/>
        <v>#REF!</v>
      </c>
    </row>
    <row r="173">
      <c r="A173" s="1" t="s">
        <v>91</v>
      </c>
      <c r="B173" s="1" t="str">
        <f>K173</f>
        <v xml:space="preserve">18 Administration</v>
      </c>
      <c r="C173" s="1" t="str">
        <f>L173</f>
        <v>.</v>
      </c>
      <c r="D173" s="1" t="s">
        <v>263</v>
      </c>
      <c r="E173" s="1" t="s">
        <v>17</v>
      </c>
      <c r="F173" s="1" t="s">
        <v>18</v>
      </c>
      <c r="G173" s="1" t="s">
        <v>260</v>
      </c>
      <c r="H173" s="1" t="s">
        <v>18</v>
      </c>
      <c r="I173" s="1" t="s">
        <v>260</v>
      </c>
      <c r="J173" s="1" t="s">
        <v>261</v>
      </c>
      <c r="K173" s="1" t="s">
        <v>261</v>
      </c>
      <c r="L173" s="1" t="s">
        <v>22</v>
      </c>
      <c r="M173" s="1" t="s">
        <v>210</v>
      </c>
      <c r="N173" s="1" t="s">
        <v>262</v>
      </c>
      <c r="O173" s="1" t="s">
        <v>18</v>
      </c>
      <c r="P173" s="1" t="e">
        <f t="shared" si="6"/>
        <v>#REF!</v>
      </c>
    </row>
    <row r="174">
      <c r="A174" s="1" t="s">
        <v>91</v>
      </c>
      <c r="B174" s="1" t="str">
        <f>K174</f>
        <v xml:space="preserve">18 Administration</v>
      </c>
      <c r="C174" s="1" t="str">
        <f>L174</f>
        <v>.</v>
      </c>
      <c r="D174" s="1" t="s">
        <v>264</v>
      </c>
      <c r="E174" s="1" t="s">
        <v>17</v>
      </c>
      <c r="F174" s="1" t="s">
        <v>18</v>
      </c>
      <c r="G174" s="1" t="s">
        <v>260</v>
      </c>
      <c r="H174" s="1" t="s">
        <v>18</v>
      </c>
      <c r="I174" s="1" t="s">
        <v>260</v>
      </c>
      <c r="J174" s="1" t="s">
        <v>261</v>
      </c>
      <c r="K174" s="1" t="s">
        <v>261</v>
      </c>
      <c r="L174" s="1" t="s">
        <v>22</v>
      </c>
      <c r="M174" s="1" t="s">
        <v>210</v>
      </c>
      <c r="N174" s="1" t="s">
        <v>262</v>
      </c>
      <c r="O174" s="1" t="s">
        <v>18</v>
      </c>
      <c r="P174" s="1" t="e">
        <f t="shared" si="6"/>
        <v>#REF!</v>
      </c>
    </row>
    <row r="175">
      <c r="A175" s="1" t="s">
        <v>91</v>
      </c>
      <c r="B175" s="1" t="str">
        <f>K175</f>
        <v xml:space="preserve">18 Administration</v>
      </c>
      <c r="C175" s="1" t="str">
        <f>L175</f>
        <v>.</v>
      </c>
      <c r="D175" s="1" t="s">
        <v>265</v>
      </c>
      <c r="E175" s="1" t="s">
        <v>17</v>
      </c>
      <c r="F175" s="1" t="s">
        <v>18</v>
      </c>
      <c r="G175" s="1" t="s">
        <v>260</v>
      </c>
      <c r="H175" s="1" t="s">
        <v>18</v>
      </c>
      <c r="I175" s="1" t="s">
        <v>260</v>
      </c>
      <c r="J175" s="1" t="s">
        <v>261</v>
      </c>
      <c r="K175" s="1" t="s">
        <v>261</v>
      </c>
      <c r="L175" s="1" t="s">
        <v>22</v>
      </c>
      <c r="M175" s="1" t="s">
        <v>210</v>
      </c>
      <c r="N175" s="1" t="s">
        <v>262</v>
      </c>
      <c r="O175" s="1" t="s">
        <v>18</v>
      </c>
      <c r="P175" s="1" t="e">
        <f t="shared" si="6"/>
        <v>#REF!</v>
      </c>
    </row>
    <row r="176">
      <c r="A176" s="1" t="s">
        <v>91</v>
      </c>
      <c r="B176" s="1" t="str">
        <f>K176</f>
        <v xml:space="preserve">18 Administration</v>
      </c>
      <c r="C176" s="1" t="str">
        <f>L176</f>
        <v>.</v>
      </c>
      <c r="D176" s="1" t="s">
        <v>266</v>
      </c>
      <c r="E176" s="1" t="s">
        <v>17</v>
      </c>
      <c r="F176" s="1" t="s">
        <v>18</v>
      </c>
      <c r="G176" s="1" t="s">
        <v>260</v>
      </c>
      <c r="H176" s="1" t="s">
        <v>18</v>
      </c>
      <c r="I176" s="1" t="s">
        <v>260</v>
      </c>
      <c r="J176" s="1" t="s">
        <v>261</v>
      </c>
      <c r="K176" s="1" t="s">
        <v>261</v>
      </c>
      <c r="L176" s="1" t="s">
        <v>22</v>
      </c>
      <c r="M176" s="1" t="s">
        <v>210</v>
      </c>
      <c r="N176" s="1" t="s">
        <v>262</v>
      </c>
      <c r="O176" s="1" t="s">
        <v>18</v>
      </c>
      <c r="P176" s="1" t="e">
        <f t="shared" si="6"/>
        <v>#REF!</v>
      </c>
    </row>
    <row r="177">
      <c r="A177" s="1" t="s">
        <v>91</v>
      </c>
      <c r="B177" s="1" t="str">
        <f>K177</f>
        <v xml:space="preserve">18 Administration</v>
      </c>
      <c r="C177" s="1" t="str">
        <f>L177</f>
        <v>.</v>
      </c>
      <c r="D177" s="1" t="s">
        <v>267</v>
      </c>
      <c r="E177" s="1" t="s">
        <v>17</v>
      </c>
      <c r="F177" s="1" t="s">
        <v>18</v>
      </c>
      <c r="G177" s="1" t="s">
        <v>260</v>
      </c>
      <c r="H177" s="1" t="s">
        <v>18</v>
      </c>
      <c r="I177" s="1" t="s">
        <v>260</v>
      </c>
      <c r="J177" s="1" t="s">
        <v>261</v>
      </c>
      <c r="K177" s="1" t="s">
        <v>261</v>
      </c>
      <c r="L177" s="1" t="s">
        <v>22</v>
      </c>
      <c r="M177" s="1" t="s">
        <v>210</v>
      </c>
      <c r="N177" s="1" t="s">
        <v>262</v>
      </c>
      <c r="O177" s="1" t="s">
        <v>18</v>
      </c>
      <c r="P177" s="1" t="e">
        <f t="shared" si="6"/>
        <v>#REF!</v>
      </c>
    </row>
    <row r="178">
      <c r="A178" s="1" t="s">
        <v>91</v>
      </c>
      <c r="B178" s="1" t="str">
        <f>K178</f>
        <v xml:space="preserve">18 Administration</v>
      </c>
      <c r="C178" s="1" t="str">
        <f>L178</f>
        <v>.</v>
      </c>
      <c r="D178" s="1" t="s">
        <v>268</v>
      </c>
      <c r="E178" s="1" t="s">
        <v>17</v>
      </c>
      <c r="F178" s="1" t="s">
        <v>18</v>
      </c>
      <c r="G178" s="1" t="s">
        <v>260</v>
      </c>
      <c r="H178" s="1" t="s">
        <v>18</v>
      </c>
      <c r="I178" s="1" t="s">
        <v>260</v>
      </c>
      <c r="J178" s="1" t="s">
        <v>261</v>
      </c>
      <c r="K178" s="1" t="s">
        <v>261</v>
      </c>
      <c r="L178" s="1" t="s">
        <v>22</v>
      </c>
      <c r="M178" s="1" t="s">
        <v>210</v>
      </c>
      <c r="N178" s="1" t="s">
        <v>262</v>
      </c>
      <c r="O178" s="1" t="s">
        <v>18</v>
      </c>
      <c r="P178" s="1" t="e">
        <f t="shared" si="6"/>
        <v>#REF!</v>
      </c>
    </row>
    <row r="179">
      <c r="A179" s="1" t="s">
        <v>91</v>
      </c>
      <c r="B179" s="1" t="str">
        <f>K179</f>
        <v xml:space="preserve">18 Administration</v>
      </c>
      <c r="C179" s="1" t="str">
        <f>L179</f>
        <v>.</v>
      </c>
      <c r="D179" s="1" t="s">
        <v>269</v>
      </c>
      <c r="E179" s="1" t="s">
        <v>17</v>
      </c>
      <c r="F179" s="1" t="s">
        <v>18</v>
      </c>
      <c r="G179" s="1" t="s">
        <v>260</v>
      </c>
      <c r="H179" s="1" t="s">
        <v>18</v>
      </c>
      <c r="I179" s="1" t="s">
        <v>260</v>
      </c>
      <c r="J179" s="1" t="s">
        <v>261</v>
      </c>
      <c r="K179" s="1" t="s">
        <v>261</v>
      </c>
      <c r="L179" s="1" t="s">
        <v>22</v>
      </c>
      <c r="M179" s="1" t="s">
        <v>210</v>
      </c>
      <c r="N179" s="1" t="s">
        <v>262</v>
      </c>
      <c r="O179" s="1" t="s">
        <v>18</v>
      </c>
      <c r="P179" s="1" t="e">
        <f t="shared" si="6"/>
        <v>#REF!</v>
      </c>
    </row>
    <row r="180">
      <c r="A180" s="1" t="s">
        <v>91</v>
      </c>
      <c r="B180" s="1" t="str">
        <f>K180</f>
        <v xml:space="preserve">18 Administration</v>
      </c>
      <c r="C180" s="1" t="str">
        <f>L180</f>
        <v>.</v>
      </c>
      <c r="D180" s="1" t="s">
        <v>270</v>
      </c>
      <c r="E180" s="1" t="s">
        <v>17</v>
      </c>
      <c r="F180" s="1" t="s">
        <v>18</v>
      </c>
      <c r="G180" s="1" t="s">
        <v>260</v>
      </c>
      <c r="H180" s="1" t="s">
        <v>18</v>
      </c>
      <c r="I180" s="1" t="s">
        <v>260</v>
      </c>
      <c r="J180" s="1" t="s">
        <v>261</v>
      </c>
      <c r="K180" s="1" t="s">
        <v>261</v>
      </c>
      <c r="L180" s="1" t="s">
        <v>22</v>
      </c>
      <c r="M180" s="1" t="s">
        <v>210</v>
      </c>
      <c r="N180" s="1" t="s">
        <v>262</v>
      </c>
      <c r="O180" s="1" t="s">
        <v>18</v>
      </c>
      <c r="P180" s="1" t="e">
        <f t="shared" si="6"/>
        <v>#REF!</v>
      </c>
    </row>
    <row r="181">
      <c r="A181" s="1" t="s">
        <v>91</v>
      </c>
      <c r="B181" s="1" t="str">
        <f>K181</f>
        <v xml:space="preserve">18 Administration</v>
      </c>
      <c r="C181" s="1" t="str">
        <f>L181</f>
        <v>.</v>
      </c>
      <c r="D181" s="1" t="s">
        <v>271</v>
      </c>
      <c r="E181" s="1" t="s">
        <v>17</v>
      </c>
      <c r="F181" s="1" t="s">
        <v>18</v>
      </c>
      <c r="G181" s="1" t="s">
        <v>260</v>
      </c>
      <c r="H181" s="1" t="s">
        <v>18</v>
      </c>
      <c r="I181" s="1" t="s">
        <v>260</v>
      </c>
      <c r="J181" s="1" t="s">
        <v>261</v>
      </c>
      <c r="K181" s="1" t="s">
        <v>261</v>
      </c>
      <c r="L181" s="1" t="s">
        <v>22</v>
      </c>
      <c r="M181" s="1" t="s">
        <v>210</v>
      </c>
      <c r="N181" s="1" t="s">
        <v>262</v>
      </c>
      <c r="O181" s="1" t="s">
        <v>18</v>
      </c>
      <c r="P181" s="1" t="e">
        <f t="shared" si="6"/>
        <v>#REF!</v>
      </c>
    </row>
    <row r="182">
      <c r="A182" s="1" t="s">
        <v>91</v>
      </c>
      <c r="B182" s="1" t="str">
        <f>K182</f>
        <v xml:space="preserve">18 Administration</v>
      </c>
      <c r="C182" s="1" t="str">
        <f>L182</f>
        <v>.</v>
      </c>
      <c r="D182" s="1" t="s">
        <v>272</v>
      </c>
      <c r="E182" s="1" t="s">
        <v>17</v>
      </c>
      <c r="F182" s="1" t="s">
        <v>18</v>
      </c>
      <c r="G182" s="1" t="s">
        <v>260</v>
      </c>
      <c r="H182" s="1" t="s">
        <v>18</v>
      </c>
      <c r="I182" s="1" t="s">
        <v>260</v>
      </c>
      <c r="J182" s="1" t="s">
        <v>261</v>
      </c>
      <c r="K182" s="1" t="s">
        <v>261</v>
      </c>
      <c r="L182" s="1" t="s">
        <v>22</v>
      </c>
      <c r="M182" s="1" t="s">
        <v>210</v>
      </c>
      <c r="N182" s="1" t="s">
        <v>262</v>
      </c>
      <c r="O182" s="1" t="s">
        <v>18</v>
      </c>
      <c r="P182" s="1" t="e">
        <f t="shared" si="6"/>
        <v>#REF!</v>
      </c>
    </row>
    <row r="183">
      <c r="A183" s="1" t="s">
        <v>91</v>
      </c>
      <c r="B183" s="1" t="str">
        <f>K183</f>
        <v xml:space="preserve">18 Administration</v>
      </c>
      <c r="C183" s="1" t="str">
        <f>L183</f>
        <v>.</v>
      </c>
      <c r="D183" s="1" t="s">
        <v>273</v>
      </c>
      <c r="E183" s="1" t="s">
        <v>17</v>
      </c>
      <c r="F183" s="1" t="s">
        <v>18</v>
      </c>
      <c r="G183" s="1" t="s">
        <v>260</v>
      </c>
      <c r="H183" s="1" t="s">
        <v>18</v>
      </c>
      <c r="I183" s="1" t="s">
        <v>260</v>
      </c>
      <c r="J183" s="1" t="s">
        <v>261</v>
      </c>
      <c r="K183" s="1" t="s">
        <v>261</v>
      </c>
      <c r="L183" s="1" t="s">
        <v>22</v>
      </c>
      <c r="M183" s="1" t="s">
        <v>210</v>
      </c>
      <c r="N183" s="1" t="s">
        <v>262</v>
      </c>
      <c r="O183" s="1" t="s">
        <v>18</v>
      </c>
      <c r="P183" s="1" t="e">
        <f t="shared" si="6"/>
        <v>#REF!</v>
      </c>
    </row>
    <row r="184">
      <c r="A184" s="1" t="s">
        <v>91</v>
      </c>
      <c r="B184" s="1" t="str">
        <f>K184</f>
        <v xml:space="preserve">18 Administration</v>
      </c>
      <c r="C184" s="1" t="str">
        <f>L184</f>
        <v>.</v>
      </c>
      <c r="D184" s="1" t="s">
        <v>274</v>
      </c>
      <c r="E184" s="1" t="s">
        <v>17</v>
      </c>
      <c r="F184" s="1" t="s">
        <v>18</v>
      </c>
      <c r="G184" s="1" t="s">
        <v>260</v>
      </c>
      <c r="H184" s="1" t="s">
        <v>18</v>
      </c>
      <c r="I184" s="1" t="s">
        <v>260</v>
      </c>
      <c r="J184" s="1" t="s">
        <v>261</v>
      </c>
      <c r="K184" s="1" t="s">
        <v>261</v>
      </c>
      <c r="L184" s="1" t="s">
        <v>22</v>
      </c>
      <c r="M184" s="1" t="s">
        <v>210</v>
      </c>
      <c r="N184" s="1" t="s">
        <v>262</v>
      </c>
      <c r="O184" s="1" t="s">
        <v>18</v>
      </c>
      <c r="P184" s="1" t="e">
        <f t="shared" si="6"/>
        <v>#REF!</v>
      </c>
    </row>
    <row r="185">
      <c r="A185" s="1" t="s">
        <v>91</v>
      </c>
      <c r="B185" s="1" t="str">
        <f>K185</f>
        <v xml:space="preserve">18 Administration</v>
      </c>
      <c r="C185" s="1" t="str">
        <f>L185</f>
        <v>.</v>
      </c>
      <c r="D185" s="1" t="s">
        <v>275</v>
      </c>
      <c r="E185" s="1" t="s">
        <v>17</v>
      </c>
      <c r="F185" s="1" t="s">
        <v>18</v>
      </c>
      <c r="G185" s="1" t="s">
        <v>260</v>
      </c>
      <c r="H185" s="1" t="s">
        <v>18</v>
      </c>
      <c r="I185" s="1" t="s">
        <v>260</v>
      </c>
      <c r="J185" s="1" t="s">
        <v>261</v>
      </c>
      <c r="K185" s="1" t="s">
        <v>261</v>
      </c>
      <c r="L185" s="1" t="s">
        <v>22</v>
      </c>
      <c r="M185" s="1" t="s">
        <v>210</v>
      </c>
      <c r="N185" s="1" t="s">
        <v>262</v>
      </c>
      <c r="O185" s="1" t="s">
        <v>18</v>
      </c>
      <c r="P185" s="1" t="e">
        <f t="shared" si="6"/>
        <v>#REF!</v>
      </c>
    </row>
    <row r="186">
      <c r="A186" s="1" t="s">
        <v>91</v>
      </c>
      <c r="B186" s="1" t="str">
        <f>K186</f>
        <v xml:space="preserve">19 Communications</v>
      </c>
      <c r="C186" s="1" t="str">
        <f>L186</f>
        <v>.</v>
      </c>
      <c r="D186" s="1" t="s">
        <v>276</v>
      </c>
      <c r="E186" s="1" t="s">
        <v>17</v>
      </c>
      <c r="F186" s="1" t="s">
        <v>18</v>
      </c>
      <c r="G186" s="1" t="s">
        <v>277</v>
      </c>
      <c r="H186" s="1" t="s">
        <v>18</v>
      </c>
      <c r="I186" s="1" t="s">
        <v>277</v>
      </c>
      <c r="J186" s="1" t="s">
        <v>278</v>
      </c>
      <c r="K186" s="1" t="s">
        <v>278</v>
      </c>
      <c r="L186" s="1" t="s">
        <v>22</v>
      </c>
      <c r="M186" s="1" t="s">
        <v>210</v>
      </c>
      <c r="N186" s="1" t="s">
        <v>277</v>
      </c>
      <c r="O186" s="1" t="s">
        <v>18</v>
      </c>
      <c r="P186" s="1" t="e">
        <f t="shared" si="6"/>
        <v>#REF!</v>
      </c>
    </row>
    <row r="187">
      <c r="A187" s="1" t="s">
        <v>91</v>
      </c>
      <c r="B187" s="1" t="str">
        <f>K187</f>
        <v xml:space="preserve">19 Communications</v>
      </c>
      <c r="C187" s="1" t="str">
        <f>L187</f>
        <v>.</v>
      </c>
      <c r="D187" s="1" t="s">
        <v>279</v>
      </c>
      <c r="E187" s="1" t="s">
        <v>17</v>
      </c>
      <c r="F187" s="1" t="s">
        <v>18</v>
      </c>
      <c r="G187" s="1" t="s">
        <v>277</v>
      </c>
      <c r="H187" s="1" t="s">
        <v>18</v>
      </c>
      <c r="I187" s="1" t="s">
        <v>277</v>
      </c>
      <c r="J187" s="1" t="s">
        <v>278</v>
      </c>
      <c r="K187" s="1" t="s">
        <v>278</v>
      </c>
      <c r="L187" s="1" t="s">
        <v>22</v>
      </c>
      <c r="M187" s="1" t="s">
        <v>210</v>
      </c>
      <c r="N187" s="1" t="s">
        <v>277</v>
      </c>
      <c r="O187" s="1" t="s">
        <v>18</v>
      </c>
      <c r="P187" s="1" t="e">
        <f t="shared" si="6"/>
        <v>#REF!</v>
      </c>
    </row>
    <row r="188">
      <c r="A188" s="1" t="s">
        <v>91</v>
      </c>
      <c r="B188" s="1" t="str">
        <f>K188</f>
        <v xml:space="preserve">19 Communications</v>
      </c>
      <c r="C188" s="1" t="str">
        <f>L188</f>
        <v>.</v>
      </c>
      <c r="D188" s="1" t="s">
        <v>280</v>
      </c>
      <c r="E188" s="1" t="s">
        <v>17</v>
      </c>
      <c r="F188" s="1" t="s">
        <v>18</v>
      </c>
      <c r="G188" s="1" t="s">
        <v>277</v>
      </c>
      <c r="H188" s="1" t="s">
        <v>18</v>
      </c>
      <c r="I188" s="1" t="s">
        <v>277</v>
      </c>
      <c r="J188" s="1" t="s">
        <v>278</v>
      </c>
      <c r="K188" s="1" t="s">
        <v>278</v>
      </c>
      <c r="L188" s="1" t="s">
        <v>22</v>
      </c>
      <c r="M188" s="1" t="s">
        <v>210</v>
      </c>
      <c r="N188" s="1" t="s">
        <v>277</v>
      </c>
      <c r="O188" s="1" t="s">
        <v>18</v>
      </c>
      <c r="P188" s="1" t="e">
        <f t="shared" si="6"/>
        <v>#REF!</v>
      </c>
    </row>
    <row r="189">
      <c r="A189" s="1" t="s">
        <v>91</v>
      </c>
      <c r="B189" s="1" t="str">
        <f>K189</f>
        <v xml:space="preserve">19 Communications</v>
      </c>
      <c r="C189" s="1" t="str">
        <f>L189</f>
        <v>.</v>
      </c>
      <c r="D189" s="1" t="s">
        <v>281</v>
      </c>
      <c r="E189" s="1" t="s">
        <v>17</v>
      </c>
      <c r="F189" s="1" t="s">
        <v>18</v>
      </c>
      <c r="G189" s="1" t="s">
        <v>277</v>
      </c>
      <c r="H189" s="1" t="s">
        <v>18</v>
      </c>
      <c r="I189" s="1" t="s">
        <v>277</v>
      </c>
      <c r="J189" s="1" t="s">
        <v>278</v>
      </c>
      <c r="K189" s="1" t="s">
        <v>278</v>
      </c>
      <c r="L189" s="1" t="s">
        <v>22</v>
      </c>
      <c r="M189" s="1" t="s">
        <v>210</v>
      </c>
      <c r="N189" s="1" t="s">
        <v>277</v>
      </c>
      <c r="O189" s="1" t="s">
        <v>18</v>
      </c>
      <c r="P189" s="1" t="e">
        <f t="shared" ref="P189:P196" si="7">IF(B189=B188,P188,P188+1)</f>
        <v>#REF!</v>
      </c>
    </row>
    <row r="190">
      <c r="A190" s="1" t="s">
        <v>91</v>
      </c>
      <c r="B190" s="1" t="str">
        <f>K190</f>
        <v xml:space="preserve">19 Communications</v>
      </c>
      <c r="C190" s="1" t="str">
        <f>L190</f>
        <v>.</v>
      </c>
      <c r="D190" s="1" t="s">
        <v>282</v>
      </c>
      <c r="E190" s="1" t="s">
        <v>17</v>
      </c>
      <c r="F190" s="1" t="s">
        <v>18</v>
      </c>
      <c r="G190" s="1" t="s">
        <v>277</v>
      </c>
      <c r="H190" s="1" t="s">
        <v>18</v>
      </c>
      <c r="I190" s="1" t="s">
        <v>277</v>
      </c>
      <c r="J190" s="1" t="s">
        <v>278</v>
      </c>
      <c r="K190" s="1" t="s">
        <v>278</v>
      </c>
      <c r="L190" s="1" t="s">
        <v>22</v>
      </c>
      <c r="M190" s="1" t="s">
        <v>210</v>
      </c>
      <c r="N190" s="1" t="s">
        <v>277</v>
      </c>
      <c r="O190" s="1" t="s">
        <v>18</v>
      </c>
      <c r="P190" s="1" t="e">
        <f t="shared" si="7"/>
        <v>#REF!</v>
      </c>
    </row>
    <row r="191">
      <c r="A191" s="1" t="s">
        <v>91</v>
      </c>
      <c r="B191" s="1" t="str">
        <f>K191</f>
        <v xml:space="preserve">19 Communications</v>
      </c>
      <c r="C191" s="1" t="str">
        <f>L191</f>
        <v>.</v>
      </c>
      <c r="D191" s="1" t="s">
        <v>283</v>
      </c>
      <c r="E191" s="1" t="s">
        <v>17</v>
      </c>
      <c r="F191" s="1" t="s">
        <v>18</v>
      </c>
      <c r="G191" s="1" t="s">
        <v>277</v>
      </c>
      <c r="H191" s="1" t="s">
        <v>18</v>
      </c>
      <c r="I191" s="1" t="s">
        <v>277</v>
      </c>
      <c r="J191" s="1" t="s">
        <v>278</v>
      </c>
      <c r="K191" s="1" t="s">
        <v>278</v>
      </c>
      <c r="L191" s="1" t="s">
        <v>22</v>
      </c>
      <c r="M191" s="1" t="s">
        <v>210</v>
      </c>
      <c r="N191" s="1" t="s">
        <v>277</v>
      </c>
      <c r="O191" s="1" t="s">
        <v>18</v>
      </c>
      <c r="P191" s="1" t="e">
        <f t="shared" si="7"/>
        <v>#REF!</v>
      </c>
    </row>
    <row r="192">
      <c r="A192" s="1" t="s">
        <v>91</v>
      </c>
      <c r="B192" s="1" t="str">
        <f>K192</f>
        <v xml:space="preserve">20 Personnel</v>
      </c>
      <c r="C192" s="1" t="str">
        <f>L192</f>
        <v>Office</v>
      </c>
      <c r="D192" s="1" t="s">
        <v>284</v>
      </c>
      <c r="E192" s="1" t="s">
        <v>17</v>
      </c>
      <c r="F192" s="1" t="s">
        <v>97</v>
      </c>
      <c r="G192" s="1" t="s">
        <v>260</v>
      </c>
      <c r="H192" s="1" t="s">
        <v>97</v>
      </c>
      <c r="I192" s="1" t="s">
        <v>260</v>
      </c>
      <c r="J192" s="1" t="s">
        <v>285</v>
      </c>
      <c r="K192" s="1" t="s">
        <v>285</v>
      </c>
      <c r="L192" s="1" t="str">
        <f t="shared" ref="L192:L235" si="8">G192</f>
        <v>Office</v>
      </c>
      <c r="M192" s="1" t="s">
        <v>97</v>
      </c>
      <c r="N192" s="1" t="s">
        <v>260</v>
      </c>
      <c r="O192" s="1" t="s">
        <v>97</v>
      </c>
      <c r="P192" s="1" t="e">
        <f t="shared" si="7"/>
        <v>#REF!</v>
      </c>
    </row>
    <row r="193">
      <c r="A193" s="1" t="s">
        <v>91</v>
      </c>
      <c r="B193" s="1" t="str">
        <f>K193</f>
        <v xml:space="preserve">20 Personnel</v>
      </c>
      <c r="C193" s="1" t="str">
        <f>L193</f>
        <v>Office</v>
      </c>
      <c r="D193" s="1" t="s">
        <v>286</v>
      </c>
      <c r="E193" s="1" t="s">
        <v>17</v>
      </c>
      <c r="F193" s="1" t="s">
        <v>97</v>
      </c>
      <c r="G193" s="1" t="s">
        <v>260</v>
      </c>
      <c r="H193" s="1" t="s">
        <v>97</v>
      </c>
      <c r="I193" s="1" t="s">
        <v>260</v>
      </c>
      <c r="J193" s="1" t="s">
        <v>285</v>
      </c>
      <c r="K193" s="1" t="s">
        <v>285</v>
      </c>
      <c r="L193" s="1" t="str">
        <f t="shared" si="8"/>
        <v>Office</v>
      </c>
      <c r="M193" s="1" t="s">
        <v>97</v>
      </c>
      <c r="N193" s="1" t="s">
        <v>260</v>
      </c>
      <c r="O193" s="1" t="s">
        <v>97</v>
      </c>
      <c r="P193" s="1" t="e">
        <f t="shared" si="7"/>
        <v>#REF!</v>
      </c>
    </row>
    <row r="194">
      <c r="A194" s="1" t="s">
        <v>91</v>
      </c>
      <c r="B194" s="1" t="str">
        <f>K194</f>
        <v xml:space="preserve">20 Personnel</v>
      </c>
      <c r="C194" s="1" t="str">
        <f>L194</f>
        <v>Office</v>
      </c>
      <c r="D194" s="1" t="s">
        <v>287</v>
      </c>
      <c r="E194" s="1" t="s">
        <v>17</v>
      </c>
      <c r="F194" s="1" t="s">
        <v>97</v>
      </c>
      <c r="G194" s="1" t="s">
        <v>260</v>
      </c>
      <c r="H194" s="1" t="s">
        <v>97</v>
      </c>
      <c r="I194" s="1" t="s">
        <v>260</v>
      </c>
      <c r="J194" s="1" t="s">
        <v>285</v>
      </c>
      <c r="K194" s="1" t="s">
        <v>285</v>
      </c>
      <c r="L194" s="1" t="str">
        <f t="shared" si="8"/>
        <v>Office</v>
      </c>
      <c r="M194" s="1" t="s">
        <v>97</v>
      </c>
      <c r="N194" s="1" t="s">
        <v>260</v>
      </c>
      <c r="O194" s="1" t="s">
        <v>97</v>
      </c>
      <c r="P194" s="1" t="e">
        <f t="shared" si="7"/>
        <v>#REF!</v>
      </c>
    </row>
    <row r="195">
      <c r="A195" s="1" t="s">
        <v>91</v>
      </c>
      <c r="B195" s="1" t="str">
        <f>K195</f>
        <v xml:space="preserve">20 Personnel</v>
      </c>
      <c r="C195" s="1" t="str">
        <f>L195</f>
        <v>Office</v>
      </c>
      <c r="D195" s="1" t="s">
        <v>288</v>
      </c>
      <c r="E195" s="1" t="s">
        <v>17</v>
      </c>
      <c r="F195" s="1" t="s">
        <v>97</v>
      </c>
      <c r="G195" s="1" t="s">
        <v>260</v>
      </c>
      <c r="H195" s="1" t="s">
        <v>97</v>
      </c>
      <c r="I195" s="1" t="s">
        <v>260</v>
      </c>
      <c r="J195" s="1" t="s">
        <v>285</v>
      </c>
      <c r="K195" s="1" t="s">
        <v>285</v>
      </c>
      <c r="L195" s="1" t="str">
        <f t="shared" si="8"/>
        <v>Office</v>
      </c>
      <c r="M195" s="1" t="s">
        <v>97</v>
      </c>
      <c r="N195" s="1" t="s">
        <v>260</v>
      </c>
      <c r="O195" s="1" t="s">
        <v>97</v>
      </c>
      <c r="P195" s="1" t="e">
        <f t="shared" si="7"/>
        <v>#REF!</v>
      </c>
    </row>
    <row r="196">
      <c r="A196" s="1" t="s">
        <v>91</v>
      </c>
      <c r="B196" s="1" t="str">
        <f>K196</f>
        <v xml:space="preserve">20 Personnel</v>
      </c>
      <c r="C196" s="1" t="str">
        <f>L196</f>
        <v>Office</v>
      </c>
      <c r="D196" s="1" t="s">
        <v>289</v>
      </c>
      <c r="E196" s="8" t="s">
        <v>63</v>
      </c>
      <c r="F196" s="1" t="s">
        <v>97</v>
      </c>
      <c r="G196" s="1" t="s">
        <v>260</v>
      </c>
      <c r="H196" s="1" t="s">
        <v>97</v>
      </c>
      <c r="I196" s="1" t="s">
        <v>260</v>
      </c>
      <c r="J196" s="1" t="s">
        <v>285</v>
      </c>
      <c r="K196" s="1" t="s">
        <v>285</v>
      </c>
      <c r="L196" s="1" t="str">
        <f t="shared" si="8"/>
        <v>Office</v>
      </c>
      <c r="M196" s="1" t="s">
        <v>97</v>
      </c>
      <c r="N196" s="1" t="s">
        <v>260</v>
      </c>
      <c r="O196" s="1" t="s">
        <v>97</v>
      </c>
      <c r="P196" s="1" t="e">
        <f t="shared" si="7"/>
        <v>#REF!</v>
      </c>
    </row>
    <row r="197">
      <c r="A197" s="1" t="s">
        <v>91</v>
      </c>
      <c r="B197" s="1" t="str">
        <f>K197</f>
        <v xml:space="preserve">20 Personnel</v>
      </c>
      <c r="C197" s="1" t="str">
        <f>L197</f>
        <v xml:space="preserve">Sr. Pastor</v>
      </c>
      <c r="D197" s="1" t="s">
        <v>290</v>
      </c>
      <c r="E197" s="1" t="s">
        <v>17</v>
      </c>
      <c r="F197" s="1" t="s">
        <v>97</v>
      </c>
      <c r="G197" s="1" t="s">
        <v>291</v>
      </c>
      <c r="H197" s="1" t="s">
        <v>97</v>
      </c>
      <c r="I197" s="1" t="s">
        <v>291</v>
      </c>
      <c r="J197" s="1" t="s">
        <v>285</v>
      </c>
      <c r="K197" s="1" t="s">
        <v>285</v>
      </c>
      <c r="L197" s="1" t="str">
        <f t="shared" si="8"/>
        <v xml:space="preserve">Sr. Pastor</v>
      </c>
      <c r="M197" s="1" t="s">
        <v>97</v>
      </c>
      <c r="N197" s="1" t="s">
        <v>291</v>
      </c>
      <c r="O197" s="1" t="s">
        <v>97</v>
      </c>
      <c r="P197" s="1" t="e">
        <f t="shared" ref="P197:P198" si="9">IF(B197=B194,P194,P194+1)</f>
        <v>#REF!</v>
      </c>
    </row>
    <row r="198">
      <c r="A198" s="1" t="s">
        <v>91</v>
      </c>
      <c r="B198" s="1" t="str">
        <f>K198</f>
        <v xml:space="preserve">20 Personnel</v>
      </c>
      <c r="C198" s="1" t="str">
        <f>L198</f>
        <v xml:space="preserve">Sr. Pastor</v>
      </c>
      <c r="D198" s="1" t="s">
        <v>292</v>
      </c>
      <c r="E198" s="1" t="s">
        <v>17</v>
      </c>
      <c r="F198" s="1" t="s">
        <v>97</v>
      </c>
      <c r="G198" s="1" t="s">
        <v>291</v>
      </c>
      <c r="H198" s="1" t="s">
        <v>97</v>
      </c>
      <c r="I198" s="1" t="s">
        <v>291</v>
      </c>
      <c r="J198" s="1" t="s">
        <v>285</v>
      </c>
      <c r="K198" s="1" t="s">
        <v>285</v>
      </c>
      <c r="L198" s="1" t="str">
        <f t="shared" si="8"/>
        <v xml:space="preserve">Sr. Pastor</v>
      </c>
      <c r="M198" s="1" t="s">
        <v>97</v>
      </c>
      <c r="N198" s="1" t="str">
        <f t="shared" ref="N198:N235" si="10">I198</f>
        <v xml:space="preserve">Sr. Pastor</v>
      </c>
      <c r="O198" s="1" t="s">
        <v>97</v>
      </c>
      <c r="P198" s="1" t="e">
        <f t="shared" si="9"/>
        <v>#REF!</v>
      </c>
    </row>
    <row r="199">
      <c r="A199" s="1" t="s">
        <v>91</v>
      </c>
      <c r="B199" s="1" t="str">
        <f>K199</f>
        <v xml:space="preserve">20 Personnel</v>
      </c>
      <c r="C199" s="1" t="str">
        <f>L199</f>
        <v xml:space="preserve">Sr. Pastor</v>
      </c>
      <c r="D199" s="1" t="s">
        <v>293</v>
      </c>
      <c r="E199" s="1" t="s">
        <v>17</v>
      </c>
      <c r="F199" s="1" t="s">
        <v>97</v>
      </c>
      <c r="G199" s="1" t="s">
        <v>291</v>
      </c>
      <c r="H199" s="1" t="s">
        <v>97</v>
      </c>
      <c r="I199" s="1" t="s">
        <v>291</v>
      </c>
      <c r="J199" s="1" t="s">
        <v>285</v>
      </c>
      <c r="K199" s="1" t="s">
        <v>285</v>
      </c>
      <c r="L199" s="1" t="str">
        <f t="shared" si="8"/>
        <v xml:space="preserve">Sr. Pastor</v>
      </c>
      <c r="M199" s="1" t="s">
        <v>97</v>
      </c>
      <c r="N199" s="1" t="str">
        <f t="shared" si="10"/>
        <v xml:space="preserve">Sr. Pastor</v>
      </c>
      <c r="O199" s="1" t="s">
        <v>97</v>
      </c>
      <c r="P199" s="1" t="e">
        <f t="shared" ref="P199:P243" si="11">IF(B199=B198,P198,P198+1)</f>
        <v>#REF!</v>
      </c>
    </row>
    <row r="200">
      <c r="A200" s="1" t="s">
        <v>91</v>
      </c>
      <c r="B200" s="1" t="str">
        <f>K200</f>
        <v xml:space="preserve">20 Personnel</v>
      </c>
      <c r="C200" s="1" t="str">
        <f>L200</f>
        <v xml:space="preserve">Sr. Pastor</v>
      </c>
      <c r="D200" s="1" t="s">
        <v>294</v>
      </c>
      <c r="E200" s="1" t="s">
        <v>17</v>
      </c>
      <c r="F200" s="1" t="s">
        <v>97</v>
      </c>
      <c r="G200" s="1" t="s">
        <v>291</v>
      </c>
      <c r="H200" s="1" t="s">
        <v>97</v>
      </c>
      <c r="I200" s="1" t="s">
        <v>291</v>
      </c>
      <c r="J200" s="1" t="s">
        <v>285</v>
      </c>
      <c r="K200" s="1" t="s">
        <v>285</v>
      </c>
      <c r="L200" s="1" t="str">
        <f t="shared" si="8"/>
        <v xml:space="preserve">Sr. Pastor</v>
      </c>
      <c r="M200" s="1" t="s">
        <v>97</v>
      </c>
      <c r="N200" s="1" t="str">
        <f t="shared" si="10"/>
        <v xml:space="preserve">Sr. Pastor</v>
      </c>
      <c r="O200" s="1" t="s">
        <v>97</v>
      </c>
      <c r="P200" s="1" t="e">
        <f t="shared" si="11"/>
        <v>#REF!</v>
      </c>
    </row>
    <row r="201">
      <c r="A201" s="1" t="s">
        <v>91</v>
      </c>
      <c r="B201" s="1" t="str">
        <f>K201</f>
        <v xml:space="preserve">20 Personnel</v>
      </c>
      <c r="C201" s="1" t="str">
        <f>L201</f>
        <v xml:space="preserve">Sr. Pastor</v>
      </c>
      <c r="D201" s="1" t="s">
        <v>295</v>
      </c>
      <c r="E201" s="1" t="s">
        <v>17</v>
      </c>
      <c r="F201" s="1" t="s">
        <v>97</v>
      </c>
      <c r="G201" s="1" t="s">
        <v>291</v>
      </c>
      <c r="H201" s="1" t="s">
        <v>97</v>
      </c>
      <c r="I201" s="1" t="s">
        <v>291</v>
      </c>
      <c r="J201" s="1" t="s">
        <v>285</v>
      </c>
      <c r="K201" s="1" t="s">
        <v>285</v>
      </c>
      <c r="L201" s="1" t="str">
        <f t="shared" si="8"/>
        <v xml:space="preserve">Sr. Pastor</v>
      </c>
      <c r="M201" s="1" t="s">
        <v>97</v>
      </c>
      <c r="N201" s="1" t="str">
        <f t="shared" si="10"/>
        <v xml:space="preserve">Sr. Pastor</v>
      </c>
      <c r="O201" s="1" t="s">
        <v>97</v>
      </c>
      <c r="P201" s="1" t="e">
        <f t="shared" si="11"/>
        <v>#REF!</v>
      </c>
    </row>
    <row r="202">
      <c r="A202" s="1" t="s">
        <v>91</v>
      </c>
      <c r="B202" s="1" t="str">
        <f>K202</f>
        <v xml:space="preserve">20 Personnel</v>
      </c>
      <c r="C202" s="1" t="str">
        <f>L202</f>
        <v xml:space="preserve">Sr. Pastor</v>
      </c>
      <c r="D202" s="1" t="s">
        <v>296</v>
      </c>
      <c r="E202" s="1" t="s">
        <v>17</v>
      </c>
      <c r="F202" s="1" t="s">
        <v>97</v>
      </c>
      <c r="G202" s="1" t="s">
        <v>291</v>
      </c>
      <c r="H202" s="1" t="s">
        <v>97</v>
      </c>
      <c r="I202" s="1" t="s">
        <v>291</v>
      </c>
      <c r="J202" s="1" t="s">
        <v>285</v>
      </c>
      <c r="K202" s="1" t="s">
        <v>285</v>
      </c>
      <c r="L202" s="1" t="str">
        <f t="shared" si="8"/>
        <v xml:space="preserve">Sr. Pastor</v>
      </c>
      <c r="M202" s="1" t="s">
        <v>97</v>
      </c>
      <c r="N202" s="1" t="str">
        <f t="shared" si="10"/>
        <v xml:space="preserve">Sr. Pastor</v>
      </c>
      <c r="O202" s="1" t="s">
        <v>97</v>
      </c>
      <c r="P202" s="1" t="e">
        <f t="shared" si="11"/>
        <v>#REF!</v>
      </c>
    </row>
    <row r="203">
      <c r="A203" s="1" t="s">
        <v>91</v>
      </c>
      <c r="B203" s="1" t="str">
        <f>K203</f>
        <v xml:space="preserve">20 Personnel</v>
      </c>
      <c r="C203" s="1" t="str">
        <f>L203</f>
        <v xml:space="preserve">Sr. Pastor</v>
      </c>
      <c r="D203" s="1" t="s">
        <v>297</v>
      </c>
      <c r="E203" s="1" t="s">
        <v>17</v>
      </c>
      <c r="F203" s="1" t="s">
        <v>97</v>
      </c>
      <c r="G203" s="1" t="s">
        <v>291</v>
      </c>
      <c r="H203" s="1" t="s">
        <v>97</v>
      </c>
      <c r="I203" s="1" t="s">
        <v>291</v>
      </c>
      <c r="J203" s="1" t="s">
        <v>285</v>
      </c>
      <c r="K203" s="1" t="s">
        <v>285</v>
      </c>
      <c r="L203" s="1" t="str">
        <f t="shared" si="8"/>
        <v xml:space="preserve">Sr. Pastor</v>
      </c>
      <c r="M203" s="1" t="s">
        <v>97</v>
      </c>
      <c r="N203" s="1" t="str">
        <f t="shared" si="10"/>
        <v xml:space="preserve">Sr. Pastor</v>
      </c>
      <c r="O203" s="1" t="s">
        <v>97</v>
      </c>
      <c r="P203" s="1" t="e">
        <f t="shared" si="11"/>
        <v>#REF!</v>
      </c>
    </row>
    <row r="204" ht="14.25">
      <c r="A204" s="1" t="s">
        <v>91</v>
      </c>
      <c r="B204" s="1" t="str">
        <f>K204</f>
        <v xml:space="preserve">20 Personnel</v>
      </c>
      <c r="C204" s="1" t="str">
        <f>L204</f>
        <v xml:space="preserve">Sr. Pastor</v>
      </c>
      <c r="D204" s="12" t="s">
        <v>298</v>
      </c>
      <c r="E204" s="1" t="s">
        <v>17</v>
      </c>
      <c r="F204" s="1" t="s">
        <v>97</v>
      </c>
      <c r="G204" s="1" t="s">
        <v>291</v>
      </c>
      <c r="H204" s="1" t="s">
        <v>97</v>
      </c>
      <c r="I204" s="1" t="s">
        <v>291</v>
      </c>
      <c r="J204" s="1" t="s">
        <v>285</v>
      </c>
      <c r="K204" s="1" t="s">
        <v>285</v>
      </c>
      <c r="L204" s="1" t="str">
        <f t="shared" si="8"/>
        <v xml:space="preserve">Sr. Pastor</v>
      </c>
      <c r="M204" s="1" t="s">
        <v>97</v>
      </c>
      <c r="N204" s="1" t="str">
        <f t="shared" si="10"/>
        <v xml:space="preserve">Sr. Pastor</v>
      </c>
      <c r="O204" s="1" t="s">
        <v>97</v>
      </c>
      <c r="P204" s="1" t="e">
        <f t="shared" si="11"/>
        <v>#REF!</v>
      </c>
    </row>
    <row r="205" ht="14.25">
      <c r="A205" s="1" t="s">
        <v>91</v>
      </c>
      <c r="B205" s="1" t="str">
        <f>K205</f>
        <v xml:space="preserve">20 Personnel</v>
      </c>
      <c r="C205" s="1" t="str">
        <f>L205</f>
        <v xml:space="preserve">Pastoral Search</v>
      </c>
      <c r="D205" s="15" t="s">
        <v>299</v>
      </c>
      <c r="E205" s="1" t="s">
        <v>17</v>
      </c>
      <c r="F205" s="1" t="s">
        <v>97</v>
      </c>
      <c r="G205" s="1" t="s">
        <v>300</v>
      </c>
      <c r="H205" s="1" t="s">
        <v>97</v>
      </c>
      <c r="I205" s="1" t="s">
        <v>300</v>
      </c>
      <c r="J205" s="1" t="s">
        <v>285</v>
      </c>
      <c r="K205" s="1" t="s">
        <v>285</v>
      </c>
      <c r="L205" s="1" t="str">
        <f t="shared" si="8"/>
        <v xml:space="preserve">Pastoral Search</v>
      </c>
      <c r="M205" s="1" t="s">
        <v>97</v>
      </c>
      <c r="N205" s="1" t="str">
        <f t="shared" si="10"/>
        <v xml:space="preserve">Pastoral Search</v>
      </c>
      <c r="O205" s="1" t="s">
        <v>97</v>
      </c>
      <c r="P205" s="1" t="e">
        <f t="shared" si="11"/>
        <v>#REF!</v>
      </c>
    </row>
    <row r="206">
      <c r="A206" s="1" t="s">
        <v>91</v>
      </c>
      <c r="B206" s="1" t="str">
        <f>K206</f>
        <v xml:space="preserve">20 Personnel</v>
      </c>
      <c r="C206" s="1" t="str">
        <f>L206</f>
        <v>Maintenance</v>
      </c>
      <c r="D206" s="1" t="s">
        <v>301</v>
      </c>
      <c r="E206" s="1" t="s">
        <v>17</v>
      </c>
      <c r="F206" s="1" t="s">
        <v>97</v>
      </c>
      <c r="G206" s="1" t="s">
        <v>302</v>
      </c>
      <c r="H206" s="1" t="s">
        <v>97</v>
      </c>
      <c r="I206" s="1" t="s">
        <v>302</v>
      </c>
      <c r="J206" s="1" t="s">
        <v>285</v>
      </c>
      <c r="K206" s="1" t="s">
        <v>285</v>
      </c>
      <c r="L206" s="1" t="str">
        <f t="shared" si="8"/>
        <v>Maintenance</v>
      </c>
      <c r="M206" s="1" t="s">
        <v>97</v>
      </c>
      <c r="N206" s="1" t="str">
        <f t="shared" si="10"/>
        <v>Maintenance</v>
      </c>
      <c r="O206" s="1" t="s">
        <v>97</v>
      </c>
      <c r="P206" s="1" t="e">
        <f t="shared" si="11"/>
        <v>#REF!</v>
      </c>
    </row>
    <row r="207">
      <c r="A207" s="1" t="s">
        <v>91</v>
      </c>
      <c r="B207" s="1" t="str">
        <f>K207</f>
        <v xml:space="preserve">20 Personnel</v>
      </c>
      <c r="C207" s="1" t="str">
        <f>L207</f>
        <v>Maintenance</v>
      </c>
      <c r="D207" s="1" t="s">
        <v>303</v>
      </c>
      <c r="E207" s="1" t="s">
        <v>17</v>
      </c>
      <c r="F207" s="1" t="s">
        <v>97</v>
      </c>
      <c r="G207" s="1" t="s">
        <v>302</v>
      </c>
      <c r="H207" s="1" t="s">
        <v>97</v>
      </c>
      <c r="I207" s="1" t="s">
        <v>302</v>
      </c>
      <c r="J207" s="1" t="s">
        <v>285</v>
      </c>
      <c r="K207" s="1" t="s">
        <v>285</v>
      </c>
      <c r="L207" s="1" t="str">
        <f t="shared" si="8"/>
        <v>Maintenance</v>
      </c>
      <c r="M207" s="1" t="s">
        <v>97</v>
      </c>
      <c r="N207" s="1" t="str">
        <f t="shared" si="10"/>
        <v>Maintenance</v>
      </c>
      <c r="O207" s="1" t="s">
        <v>97</v>
      </c>
      <c r="P207" s="1" t="e">
        <f t="shared" si="11"/>
        <v>#REF!</v>
      </c>
    </row>
    <row r="208">
      <c r="A208" s="1" t="s">
        <v>91</v>
      </c>
      <c r="B208" s="1" t="str">
        <f>K208</f>
        <v xml:space="preserve">20 Personnel</v>
      </c>
      <c r="C208" s="1" t="str">
        <f>L208</f>
        <v>Maintenance</v>
      </c>
      <c r="D208" s="1" t="s">
        <v>304</v>
      </c>
      <c r="E208" s="1" t="s">
        <v>17</v>
      </c>
      <c r="F208" s="1" t="s">
        <v>97</v>
      </c>
      <c r="G208" s="1" t="s">
        <v>302</v>
      </c>
      <c r="H208" s="1" t="s">
        <v>97</v>
      </c>
      <c r="I208" s="1" t="s">
        <v>302</v>
      </c>
      <c r="J208" s="1" t="s">
        <v>285</v>
      </c>
      <c r="K208" s="1" t="s">
        <v>285</v>
      </c>
      <c r="L208" s="1" t="str">
        <f t="shared" si="8"/>
        <v>Maintenance</v>
      </c>
      <c r="M208" s="1" t="s">
        <v>97</v>
      </c>
      <c r="N208" s="1" t="str">
        <f t="shared" si="10"/>
        <v>Maintenance</v>
      </c>
      <c r="O208" s="1" t="s">
        <v>97</v>
      </c>
      <c r="P208" s="1" t="e">
        <f t="shared" si="11"/>
        <v>#REF!</v>
      </c>
    </row>
    <row r="209">
      <c r="A209" s="1" t="s">
        <v>91</v>
      </c>
      <c r="B209" s="1" t="str">
        <f>K209</f>
        <v xml:space="preserve">20 Personnel</v>
      </c>
      <c r="C209" s="1" t="str">
        <f>L209</f>
        <v>Maintenance</v>
      </c>
      <c r="D209" s="1" t="s">
        <v>305</v>
      </c>
      <c r="E209" s="1" t="s">
        <v>17</v>
      </c>
      <c r="F209" s="1" t="s">
        <v>97</v>
      </c>
      <c r="G209" s="1" t="s">
        <v>302</v>
      </c>
      <c r="H209" s="1" t="s">
        <v>97</v>
      </c>
      <c r="I209" s="1" t="s">
        <v>302</v>
      </c>
      <c r="J209" s="1" t="s">
        <v>285</v>
      </c>
      <c r="K209" s="1" t="s">
        <v>285</v>
      </c>
      <c r="L209" s="1" t="str">
        <f t="shared" si="8"/>
        <v>Maintenance</v>
      </c>
      <c r="M209" s="1" t="s">
        <v>97</v>
      </c>
      <c r="N209" s="1" t="str">
        <f t="shared" si="10"/>
        <v>Maintenance</v>
      </c>
      <c r="O209" s="1" t="s">
        <v>97</v>
      </c>
      <c r="P209" s="1" t="e">
        <f t="shared" si="11"/>
        <v>#REF!</v>
      </c>
    </row>
    <row r="210">
      <c r="A210" s="1" t="s">
        <v>91</v>
      </c>
      <c r="B210" s="1" t="str">
        <f>K210</f>
        <v xml:space="preserve">20 Personnel</v>
      </c>
      <c r="C210" s="1" t="str">
        <f>L210</f>
        <v>Maintenance</v>
      </c>
      <c r="D210" s="1" t="s">
        <v>306</v>
      </c>
      <c r="E210" s="8" t="s">
        <v>63</v>
      </c>
      <c r="F210" s="1" t="s">
        <v>97</v>
      </c>
      <c r="G210" s="1" t="s">
        <v>302</v>
      </c>
      <c r="H210" s="1" t="s">
        <v>97</v>
      </c>
      <c r="I210" s="1" t="s">
        <v>302</v>
      </c>
      <c r="J210" s="1" t="s">
        <v>285</v>
      </c>
      <c r="K210" s="1" t="s">
        <v>285</v>
      </c>
      <c r="L210" s="1" t="str">
        <f t="shared" si="8"/>
        <v>Maintenance</v>
      </c>
      <c r="M210" s="1" t="s">
        <v>97</v>
      </c>
      <c r="N210" s="1" t="str">
        <f t="shared" si="10"/>
        <v>Maintenance</v>
      </c>
      <c r="O210" s="1" t="s">
        <v>97</v>
      </c>
      <c r="P210" s="1" t="e">
        <f t="shared" si="11"/>
        <v>#REF!</v>
      </c>
    </row>
    <row r="211">
      <c r="A211" s="1" t="s">
        <v>91</v>
      </c>
      <c r="B211" s="1" t="str">
        <f>K211</f>
        <v xml:space="preserve">20 Personnel</v>
      </c>
      <c r="C211" s="1" t="str">
        <f>L211</f>
        <v>Maintenance</v>
      </c>
      <c r="D211" t="s">
        <v>307</v>
      </c>
      <c r="E211" s="1" t="s">
        <v>17</v>
      </c>
      <c r="F211" s="1" t="s">
        <v>97</v>
      </c>
      <c r="G211" s="1" t="s">
        <v>302</v>
      </c>
      <c r="H211" s="1" t="s">
        <v>97</v>
      </c>
      <c r="I211" s="1" t="s">
        <v>302</v>
      </c>
      <c r="J211" s="1" t="s">
        <v>285</v>
      </c>
      <c r="K211" s="1" t="s">
        <v>285</v>
      </c>
      <c r="L211" s="1" t="str">
        <f t="shared" si="8"/>
        <v>Maintenance</v>
      </c>
      <c r="M211" s="1" t="s">
        <v>97</v>
      </c>
      <c r="N211" s="1" t="str">
        <f t="shared" si="10"/>
        <v>Maintenance</v>
      </c>
      <c r="O211" s="1" t="s">
        <v>97</v>
      </c>
      <c r="P211" s="1" t="e">
        <f t="shared" si="11"/>
        <v>#REF!</v>
      </c>
    </row>
    <row r="212">
      <c r="A212" s="1" t="s">
        <v>91</v>
      </c>
      <c r="B212" s="1" t="str">
        <f>K212</f>
        <v xml:space="preserve">20 Personnel</v>
      </c>
      <c r="C212" s="1" t="str">
        <f>L212</f>
        <v>Music</v>
      </c>
      <c r="D212" s="1" t="s">
        <v>308</v>
      </c>
      <c r="E212" s="1" t="s">
        <v>17</v>
      </c>
      <c r="F212" s="1" t="s">
        <v>97</v>
      </c>
      <c r="G212" s="1" t="s">
        <v>309</v>
      </c>
      <c r="H212" s="1" t="s">
        <v>97</v>
      </c>
      <c r="I212" s="1" t="s">
        <v>309</v>
      </c>
      <c r="J212" s="1" t="s">
        <v>285</v>
      </c>
      <c r="K212" s="1" t="s">
        <v>285</v>
      </c>
      <c r="L212" s="1" t="str">
        <f t="shared" si="8"/>
        <v>Music</v>
      </c>
      <c r="M212" s="1" t="s">
        <v>97</v>
      </c>
      <c r="N212" s="1" t="str">
        <f t="shared" si="10"/>
        <v>Music</v>
      </c>
      <c r="O212" s="1" t="s">
        <v>97</v>
      </c>
      <c r="P212" s="1" t="e">
        <f t="shared" si="11"/>
        <v>#REF!</v>
      </c>
    </row>
    <row r="213">
      <c r="A213" s="1" t="s">
        <v>91</v>
      </c>
      <c r="B213" s="1" t="str">
        <f>K213</f>
        <v xml:space="preserve">20 Personnel</v>
      </c>
      <c r="C213" s="1" t="str">
        <f>L213</f>
        <v>Music</v>
      </c>
      <c r="D213" s="1" t="s">
        <v>310</v>
      </c>
      <c r="E213" s="1" t="s">
        <v>17</v>
      </c>
      <c r="F213" s="1" t="s">
        <v>97</v>
      </c>
      <c r="G213" s="1" t="s">
        <v>309</v>
      </c>
      <c r="H213" s="1" t="s">
        <v>97</v>
      </c>
      <c r="I213" s="1" t="s">
        <v>309</v>
      </c>
      <c r="J213" s="1" t="s">
        <v>285</v>
      </c>
      <c r="K213" s="1" t="s">
        <v>285</v>
      </c>
      <c r="L213" s="1" t="str">
        <f t="shared" si="8"/>
        <v>Music</v>
      </c>
      <c r="M213" s="1" t="s">
        <v>97</v>
      </c>
      <c r="N213" s="1" t="str">
        <f t="shared" si="10"/>
        <v>Music</v>
      </c>
      <c r="O213" s="1" t="s">
        <v>97</v>
      </c>
      <c r="P213" s="1" t="e">
        <f t="shared" si="11"/>
        <v>#REF!</v>
      </c>
    </row>
    <row r="214">
      <c r="A214" s="1" t="s">
        <v>91</v>
      </c>
      <c r="B214" s="1" t="str">
        <f>K214</f>
        <v xml:space="preserve">20 Personnel</v>
      </c>
      <c r="C214" s="1" t="str">
        <f>L214</f>
        <v xml:space="preserve">Assoc. Pastor</v>
      </c>
      <c r="D214" s="1" t="s">
        <v>311</v>
      </c>
      <c r="E214" s="1" t="s">
        <v>17</v>
      </c>
      <c r="F214" s="1" t="s">
        <v>97</v>
      </c>
      <c r="G214" s="1" t="s">
        <v>312</v>
      </c>
      <c r="H214" s="1" t="s">
        <v>97</v>
      </c>
      <c r="I214" s="1" t="s">
        <v>312</v>
      </c>
      <c r="J214" s="1" t="s">
        <v>285</v>
      </c>
      <c r="K214" s="1" t="s">
        <v>285</v>
      </c>
      <c r="L214" s="1" t="str">
        <f t="shared" si="8"/>
        <v xml:space="preserve">Assoc. Pastor</v>
      </c>
      <c r="M214" s="1" t="s">
        <v>97</v>
      </c>
      <c r="N214" s="1" t="str">
        <f t="shared" si="10"/>
        <v xml:space="preserve">Assoc. Pastor</v>
      </c>
      <c r="O214" s="1" t="s">
        <v>97</v>
      </c>
      <c r="P214" s="1" t="e">
        <f t="shared" si="11"/>
        <v>#REF!</v>
      </c>
    </row>
    <row r="215">
      <c r="A215" s="1" t="s">
        <v>91</v>
      </c>
      <c r="B215" s="1" t="str">
        <f>K215</f>
        <v xml:space="preserve">20 Personnel</v>
      </c>
      <c r="C215" s="1" t="str">
        <f>L215</f>
        <v xml:space="preserve">Assoc. Pastor</v>
      </c>
      <c r="D215" s="1" t="s">
        <v>313</v>
      </c>
      <c r="E215" s="1" t="s">
        <v>17</v>
      </c>
      <c r="F215" s="1" t="s">
        <v>97</v>
      </c>
      <c r="G215" s="1" t="s">
        <v>312</v>
      </c>
      <c r="H215" s="1" t="s">
        <v>97</v>
      </c>
      <c r="I215" s="1" t="s">
        <v>312</v>
      </c>
      <c r="J215" s="1" t="s">
        <v>285</v>
      </c>
      <c r="K215" s="1" t="s">
        <v>285</v>
      </c>
      <c r="L215" s="1" t="str">
        <f t="shared" si="8"/>
        <v xml:space="preserve">Assoc. Pastor</v>
      </c>
      <c r="M215" s="1" t="s">
        <v>97</v>
      </c>
      <c r="N215" s="1" t="str">
        <f t="shared" si="10"/>
        <v xml:space="preserve">Assoc. Pastor</v>
      </c>
      <c r="O215" s="1" t="s">
        <v>97</v>
      </c>
      <c r="P215" s="1" t="e">
        <f t="shared" si="11"/>
        <v>#REF!</v>
      </c>
    </row>
    <row r="216">
      <c r="A216" s="1" t="s">
        <v>91</v>
      </c>
      <c r="B216" s="1" t="str">
        <f>K216</f>
        <v xml:space="preserve">20 Personnel</v>
      </c>
      <c r="C216" s="1" t="str">
        <f>L216</f>
        <v xml:space="preserve">Assoc. Pastor</v>
      </c>
      <c r="D216" s="1" t="s">
        <v>314</v>
      </c>
      <c r="E216" s="1" t="s">
        <v>17</v>
      </c>
      <c r="F216" s="1" t="s">
        <v>97</v>
      </c>
      <c r="G216" s="1" t="s">
        <v>312</v>
      </c>
      <c r="H216" s="1" t="s">
        <v>97</v>
      </c>
      <c r="I216" s="1" t="s">
        <v>312</v>
      </c>
      <c r="J216" s="1" t="s">
        <v>285</v>
      </c>
      <c r="K216" s="1" t="s">
        <v>285</v>
      </c>
      <c r="L216" s="1" t="str">
        <f t="shared" si="8"/>
        <v xml:space="preserve">Assoc. Pastor</v>
      </c>
      <c r="M216" s="1" t="s">
        <v>97</v>
      </c>
      <c r="N216" s="1" t="str">
        <f t="shared" si="10"/>
        <v xml:space="preserve">Assoc. Pastor</v>
      </c>
      <c r="O216" s="1" t="s">
        <v>97</v>
      </c>
      <c r="P216" s="1" t="e">
        <f t="shared" si="11"/>
        <v>#REF!</v>
      </c>
    </row>
    <row r="217">
      <c r="A217" s="1" t="s">
        <v>91</v>
      </c>
      <c r="B217" s="1" t="str">
        <f>K217</f>
        <v xml:space="preserve">20 Personnel</v>
      </c>
      <c r="C217" s="1" t="str">
        <f>L217</f>
        <v xml:space="preserve">Assoc. Pastor</v>
      </c>
      <c r="D217" s="1" t="s">
        <v>315</v>
      </c>
      <c r="E217" s="1" t="s">
        <v>17</v>
      </c>
      <c r="F217" s="1" t="s">
        <v>97</v>
      </c>
      <c r="G217" s="1" t="s">
        <v>312</v>
      </c>
      <c r="H217" s="1" t="s">
        <v>97</v>
      </c>
      <c r="I217" s="1" t="s">
        <v>312</v>
      </c>
      <c r="J217" s="1" t="s">
        <v>285</v>
      </c>
      <c r="K217" s="1" t="s">
        <v>285</v>
      </c>
      <c r="L217" s="1" t="str">
        <f t="shared" si="8"/>
        <v xml:space="preserve">Assoc. Pastor</v>
      </c>
      <c r="M217" s="1" t="s">
        <v>97</v>
      </c>
      <c r="N217" s="1" t="str">
        <f t="shared" si="10"/>
        <v xml:space="preserve">Assoc. Pastor</v>
      </c>
      <c r="O217" s="1" t="s">
        <v>97</v>
      </c>
      <c r="P217" s="1" t="e">
        <f t="shared" si="11"/>
        <v>#REF!</v>
      </c>
    </row>
    <row r="218">
      <c r="A218" s="1" t="s">
        <v>91</v>
      </c>
      <c r="B218" s="1" t="str">
        <f>K218</f>
        <v xml:space="preserve">20 Personnel</v>
      </c>
      <c r="C218" s="1" t="str">
        <f>L218</f>
        <v xml:space="preserve">Assoc. Pastor</v>
      </c>
      <c r="D218" s="1" t="s">
        <v>316</v>
      </c>
      <c r="E218" s="1" t="s">
        <v>17</v>
      </c>
      <c r="F218" s="1" t="s">
        <v>97</v>
      </c>
      <c r="G218" s="1" t="s">
        <v>312</v>
      </c>
      <c r="H218" s="1" t="s">
        <v>97</v>
      </c>
      <c r="I218" s="1" t="s">
        <v>312</v>
      </c>
      <c r="J218" s="1" t="s">
        <v>285</v>
      </c>
      <c r="K218" s="1" t="s">
        <v>285</v>
      </c>
      <c r="L218" s="1" t="str">
        <f t="shared" si="8"/>
        <v xml:space="preserve">Assoc. Pastor</v>
      </c>
      <c r="M218" s="1" t="s">
        <v>97</v>
      </c>
      <c r="N218" s="1" t="str">
        <f t="shared" si="10"/>
        <v xml:space="preserve">Assoc. Pastor</v>
      </c>
      <c r="O218" s="1" t="s">
        <v>97</v>
      </c>
      <c r="P218" s="1" t="e">
        <f t="shared" si="11"/>
        <v>#REF!</v>
      </c>
    </row>
    <row r="219">
      <c r="A219" s="1" t="s">
        <v>91</v>
      </c>
      <c r="B219" s="1" t="str">
        <f>K219</f>
        <v xml:space="preserve">20 Personnel</v>
      </c>
      <c r="C219" s="1" t="str">
        <f>L219</f>
        <v xml:space="preserve">Assoc. Pastor</v>
      </c>
      <c r="D219" s="1" t="s">
        <v>317</v>
      </c>
      <c r="E219" s="1" t="s">
        <v>17</v>
      </c>
      <c r="F219" s="1" t="s">
        <v>97</v>
      </c>
      <c r="G219" s="1" t="s">
        <v>312</v>
      </c>
      <c r="H219" s="1" t="s">
        <v>97</v>
      </c>
      <c r="I219" s="1" t="s">
        <v>312</v>
      </c>
      <c r="J219" s="1" t="s">
        <v>285</v>
      </c>
      <c r="K219" s="1" t="s">
        <v>285</v>
      </c>
      <c r="L219" s="1" t="str">
        <f t="shared" si="8"/>
        <v xml:space="preserve">Assoc. Pastor</v>
      </c>
      <c r="M219" s="1" t="s">
        <v>97</v>
      </c>
      <c r="N219" s="1" t="str">
        <f t="shared" si="10"/>
        <v xml:space="preserve">Assoc. Pastor</v>
      </c>
      <c r="O219" s="1" t="s">
        <v>97</v>
      </c>
      <c r="P219" s="1" t="e">
        <f t="shared" si="11"/>
        <v>#REF!</v>
      </c>
    </row>
    <row r="220">
      <c r="A220" s="1" t="s">
        <v>91</v>
      </c>
      <c r="B220" s="1" t="str">
        <f>K220</f>
        <v xml:space="preserve">20 Personnel</v>
      </c>
      <c r="C220" s="1" t="str">
        <f>L220</f>
        <v xml:space="preserve">Assoc. Pastor</v>
      </c>
      <c r="D220" s="1" t="s">
        <v>318</v>
      </c>
      <c r="E220" s="1" t="s">
        <v>17</v>
      </c>
      <c r="F220" s="1" t="s">
        <v>97</v>
      </c>
      <c r="G220" s="1" t="s">
        <v>312</v>
      </c>
      <c r="H220" s="1" t="s">
        <v>97</v>
      </c>
      <c r="I220" s="1" t="s">
        <v>312</v>
      </c>
      <c r="J220" s="1" t="s">
        <v>285</v>
      </c>
      <c r="K220" s="1" t="s">
        <v>285</v>
      </c>
      <c r="L220" s="1" t="str">
        <f t="shared" si="8"/>
        <v xml:space="preserve">Assoc. Pastor</v>
      </c>
      <c r="M220" s="1" t="s">
        <v>97</v>
      </c>
      <c r="N220" s="1" t="str">
        <f t="shared" si="10"/>
        <v xml:space="preserve">Assoc. Pastor</v>
      </c>
      <c r="O220" s="1" t="s">
        <v>97</v>
      </c>
      <c r="P220" s="1" t="e">
        <f t="shared" si="11"/>
        <v>#REF!</v>
      </c>
    </row>
    <row r="221">
      <c r="A221" s="1" t="s">
        <v>91</v>
      </c>
      <c r="B221" s="1" t="str">
        <f>K221</f>
        <v xml:space="preserve">20 Personnel</v>
      </c>
      <c r="C221" s="1" t="str">
        <f>L221</f>
        <v xml:space="preserve">Assoc. Pastor</v>
      </c>
      <c r="D221" s="1" t="s">
        <v>319</v>
      </c>
      <c r="E221" s="1" t="s">
        <v>17</v>
      </c>
      <c r="F221" s="1" t="s">
        <v>97</v>
      </c>
      <c r="G221" s="1" t="s">
        <v>312</v>
      </c>
      <c r="H221" s="1" t="s">
        <v>97</v>
      </c>
      <c r="I221" s="1" t="s">
        <v>312</v>
      </c>
      <c r="J221" s="1" t="s">
        <v>285</v>
      </c>
      <c r="K221" s="1" t="s">
        <v>285</v>
      </c>
      <c r="L221" s="1" t="str">
        <f t="shared" si="8"/>
        <v xml:space="preserve">Assoc. Pastor</v>
      </c>
      <c r="M221" s="1" t="s">
        <v>97</v>
      </c>
      <c r="N221" s="1" t="str">
        <f t="shared" si="10"/>
        <v xml:space="preserve">Assoc. Pastor</v>
      </c>
      <c r="O221" s="1" t="s">
        <v>97</v>
      </c>
      <c r="P221" s="1" t="e">
        <f t="shared" si="11"/>
        <v>#REF!</v>
      </c>
    </row>
    <row r="222">
      <c r="A222" s="1" t="s">
        <v>91</v>
      </c>
      <c r="B222" s="1" t="str">
        <f>K222</f>
        <v xml:space="preserve">20 Personnel</v>
      </c>
      <c r="C222" s="1" t="str">
        <f>L222</f>
        <v xml:space="preserve">Youth Ed</v>
      </c>
      <c r="D222" s="1" t="s">
        <v>320</v>
      </c>
      <c r="E222" s="1" t="s">
        <v>17</v>
      </c>
      <c r="F222" s="1" t="s">
        <v>97</v>
      </c>
      <c r="G222" s="1" t="s">
        <v>128</v>
      </c>
      <c r="H222" s="1" t="s">
        <v>97</v>
      </c>
      <c r="I222" s="1" t="s">
        <v>128</v>
      </c>
      <c r="J222" s="1" t="s">
        <v>285</v>
      </c>
      <c r="K222" s="1" t="s">
        <v>285</v>
      </c>
      <c r="L222" s="1" t="str">
        <f t="shared" si="8"/>
        <v xml:space="preserve">Youth Ed</v>
      </c>
      <c r="M222" s="1" t="s">
        <v>97</v>
      </c>
      <c r="N222" s="1" t="str">
        <f t="shared" si="10"/>
        <v xml:space="preserve">Youth Ed</v>
      </c>
      <c r="O222" s="1" t="s">
        <v>97</v>
      </c>
      <c r="P222" s="1" t="e">
        <f t="shared" si="11"/>
        <v>#REF!</v>
      </c>
    </row>
    <row r="223">
      <c r="A223" s="1" t="s">
        <v>91</v>
      </c>
      <c r="B223" s="1" t="str">
        <f>K223</f>
        <v xml:space="preserve">20 Personnel</v>
      </c>
      <c r="C223" s="1" t="str">
        <f>L223</f>
        <v xml:space="preserve">Youth Ed</v>
      </c>
      <c r="D223" s="1" t="s">
        <v>321</v>
      </c>
      <c r="E223" s="1" t="s">
        <v>17</v>
      </c>
      <c r="F223" s="1" t="s">
        <v>97</v>
      </c>
      <c r="G223" s="1" t="s">
        <v>128</v>
      </c>
      <c r="H223" s="1" t="s">
        <v>97</v>
      </c>
      <c r="I223" s="1" t="s">
        <v>128</v>
      </c>
      <c r="J223" s="1" t="s">
        <v>285</v>
      </c>
      <c r="K223" s="1" t="s">
        <v>285</v>
      </c>
      <c r="L223" s="1" t="str">
        <f t="shared" si="8"/>
        <v xml:space="preserve">Youth Ed</v>
      </c>
      <c r="M223" s="1" t="s">
        <v>97</v>
      </c>
      <c r="N223" s="1" t="str">
        <f t="shared" si="10"/>
        <v xml:space="preserve">Youth Ed</v>
      </c>
      <c r="O223" s="1" t="s">
        <v>97</v>
      </c>
      <c r="P223" s="1" t="e">
        <f t="shared" si="11"/>
        <v>#REF!</v>
      </c>
    </row>
    <row r="224">
      <c r="A224" s="1" t="s">
        <v>91</v>
      </c>
      <c r="B224" s="1" t="str">
        <f>K224</f>
        <v xml:space="preserve">20 Personnel</v>
      </c>
      <c r="C224" s="1" t="str">
        <f>L224</f>
        <v xml:space="preserve">Youth Ed</v>
      </c>
      <c r="D224" s="16" t="s">
        <v>322</v>
      </c>
      <c r="E224" s="1" t="s">
        <v>17</v>
      </c>
      <c r="F224" s="1" t="s">
        <v>97</v>
      </c>
      <c r="G224" s="1" t="s">
        <v>128</v>
      </c>
      <c r="H224" s="1" t="s">
        <v>97</v>
      </c>
      <c r="I224" s="1" t="s">
        <v>128</v>
      </c>
      <c r="J224" s="1" t="s">
        <v>285</v>
      </c>
      <c r="K224" s="1" t="s">
        <v>285</v>
      </c>
      <c r="L224" s="1" t="str">
        <f t="shared" si="8"/>
        <v xml:space="preserve">Youth Ed</v>
      </c>
      <c r="M224" s="1" t="s">
        <v>97</v>
      </c>
      <c r="N224" s="1" t="str">
        <f t="shared" si="10"/>
        <v xml:space="preserve">Youth Ed</v>
      </c>
      <c r="O224" s="1" t="s">
        <v>97</v>
      </c>
      <c r="P224" s="1" t="e">
        <f t="shared" si="11"/>
        <v>#REF!</v>
      </c>
    </row>
    <row r="225">
      <c r="A225" s="1" t="s">
        <v>91</v>
      </c>
      <c r="B225" s="1" t="str">
        <f>K225</f>
        <v xml:space="preserve">20 Personnel</v>
      </c>
      <c r="C225" s="1" t="str">
        <f>L225</f>
        <v xml:space="preserve">Youth Ed</v>
      </c>
      <c r="D225" s="1" t="s">
        <v>323</v>
      </c>
      <c r="E225" s="1" t="s">
        <v>17</v>
      </c>
      <c r="F225" s="1" t="s">
        <v>97</v>
      </c>
      <c r="G225" s="1" t="s">
        <v>128</v>
      </c>
      <c r="H225" s="1" t="s">
        <v>97</v>
      </c>
      <c r="I225" s="1" t="s">
        <v>128</v>
      </c>
      <c r="J225" s="1" t="s">
        <v>285</v>
      </c>
      <c r="K225" s="1" t="s">
        <v>285</v>
      </c>
      <c r="L225" s="1" t="str">
        <f t="shared" si="8"/>
        <v xml:space="preserve">Youth Ed</v>
      </c>
      <c r="M225" s="1" t="s">
        <v>97</v>
      </c>
      <c r="N225" s="1" t="str">
        <f t="shared" si="10"/>
        <v xml:space="preserve">Youth Ed</v>
      </c>
      <c r="O225" s="1" t="s">
        <v>97</v>
      </c>
      <c r="P225" s="1" t="e">
        <f t="shared" si="11"/>
        <v>#REF!</v>
      </c>
    </row>
    <row r="226">
      <c r="A226" s="1" t="s">
        <v>91</v>
      </c>
      <c r="B226" s="1" t="str">
        <f>K226</f>
        <v xml:space="preserve">20 Personnel</v>
      </c>
      <c r="C226" s="1" t="str">
        <f>L226</f>
        <v xml:space="preserve">Youth Ed</v>
      </c>
      <c r="D226" s="1" t="s">
        <v>324</v>
      </c>
      <c r="E226" s="8" t="s">
        <v>63</v>
      </c>
      <c r="F226" s="1" t="s">
        <v>97</v>
      </c>
      <c r="G226" s="1" t="s">
        <v>128</v>
      </c>
      <c r="H226" s="1" t="s">
        <v>97</v>
      </c>
      <c r="I226" s="1" t="s">
        <v>128</v>
      </c>
      <c r="J226" s="1" t="s">
        <v>285</v>
      </c>
      <c r="K226" s="1" t="s">
        <v>285</v>
      </c>
      <c r="L226" s="1" t="str">
        <f t="shared" si="8"/>
        <v xml:space="preserve">Youth Ed</v>
      </c>
      <c r="M226" s="1" t="s">
        <v>97</v>
      </c>
      <c r="N226" s="1" t="str">
        <f t="shared" si="10"/>
        <v xml:space="preserve">Youth Ed</v>
      </c>
      <c r="O226" s="1" t="s">
        <v>97</v>
      </c>
      <c r="P226" s="1" t="e">
        <f t="shared" si="11"/>
        <v>#REF!</v>
      </c>
    </row>
    <row r="227">
      <c r="A227" s="1" t="s">
        <v>91</v>
      </c>
      <c r="B227" s="1" t="str">
        <f>K227</f>
        <v xml:space="preserve">20 Personnel</v>
      </c>
      <c r="C227" s="1" t="str">
        <f>L227</f>
        <v xml:space="preserve">Wednesday lunch coordinator</v>
      </c>
      <c r="D227" s="1" t="s">
        <v>325</v>
      </c>
      <c r="E227" s="1" t="s">
        <v>139</v>
      </c>
      <c r="F227" s="1" t="s">
        <v>97</v>
      </c>
      <c r="G227" s="1" t="s">
        <v>326</v>
      </c>
      <c r="H227" s="1" t="s">
        <v>97</v>
      </c>
      <c r="I227" s="1" t="s">
        <v>326</v>
      </c>
      <c r="J227" s="1" t="s">
        <v>285</v>
      </c>
      <c r="K227" s="1" t="s">
        <v>285</v>
      </c>
      <c r="L227" s="1" t="str">
        <f t="shared" si="8"/>
        <v xml:space="preserve">Wednesday lunch coordinator</v>
      </c>
      <c r="M227" s="1" t="s">
        <v>97</v>
      </c>
      <c r="N227" s="1" t="str">
        <f t="shared" si="10"/>
        <v xml:space="preserve">Wednesday lunch coordinator</v>
      </c>
      <c r="O227" s="1" t="s">
        <v>97</v>
      </c>
      <c r="P227" s="1" t="e">
        <f t="shared" si="11"/>
        <v>#REF!</v>
      </c>
    </row>
    <row r="228">
      <c r="A228" s="1" t="s">
        <v>91</v>
      </c>
      <c r="B228" s="1" t="str">
        <f>K228</f>
        <v xml:space="preserve">20 Personnel</v>
      </c>
      <c r="C228" s="1" t="str">
        <f>L228</f>
        <v xml:space="preserve">Wednesday lunch coordinator</v>
      </c>
      <c r="D228" s="1" t="s">
        <v>327</v>
      </c>
      <c r="E228" s="1" t="s">
        <v>139</v>
      </c>
      <c r="F228" s="1" t="s">
        <v>97</v>
      </c>
      <c r="G228" s="1" t="s">
        <v>326</v>
      </c>
      <c r="H228" s="1" t="s">
        <v>97</v>
      </c>
      <c r="I228" s="1" t="s">
        <v>326</v>
      </c>
      <c r="J228" s="1" t="s">
        <v>285</v>
      </c>
      <c r="K228" s="1" t="s">
        <v>285</v>
      </c>
      <c r="L228" s="1" t="str">
        <f t="shared" si="8"/>
        <v xml:space="preserve">Wednesday lunch coordinator</v>
      </c>
      <c r="M228" s="1" t="s">
        <v>97</v>
      </c>
      <c r="N228" s="1" t="str">
        <f t="shared" si="10"/>
        <v xml:space="preserve">Wednesday lunch coordinator</v>
      </c>
      <c r="O228" s="1" t="s">
        <v>97</v>
      </c>
      <c r="P228" s="1" t="e">
        <f t="shared" si="11"/>
        <v>#REF!</v>
      </c>
    </row>
    <row r="229">
      <c r="A229" s="1" t="s">
        <v>91</v>
      </c>
      <c r="B229" s="1" t="str">
        <f>K229</f>
        <v xml:space="preserve">20 Personnel</v>
      </c>
      <c r="C229" s="1" t="str">
        <f>L229</f>
        <v xml:space="preserve">Wednesday lunch coordinator</v>
      </c>
      <c r="D229" t="s">
        <v>328</v>
      </c>
      <c r="E229" s="1" t="s">
        <v>139</v>
      </c>
      <c r="F229" s="1" t="s">
        <v>97</v>
      </c>
      <c r="G229" s="1" t="s">
        <v>326</v>
      </c>
      <c r="H229" s="1" t="s">
        <v>97</v>
      </c>
      <c r="I229" s="1" t="s">
        <v>326</v>
      </c>
      <c r="J229" s="1" t="s">
        <v>285</v>
      </c>
      <c r="K229" s="1" t="s">
        <v>285</v>
      </c>
      <c r="L229" s="1" t="str">
        <f t="shared" si="8"/>
        <v xml:space="preserve">Wednesday lunch coordinator</v>
      </c>
      <c r="M229" s="1" t="s">
        <v>97</v>
      </c>
      <c r="N229" s="1" t="str">
        <f t="shared" si="10"/>
        <v xml:space="preserve">Wednesday lunch coordinator</v>
      </c>
      <c r="O229" s="1" t="s">
        <v>97</v>
      </c>
      <c r="P229" s="1" t="e">
        <f t="shared" si="11"/>
        <v>#REF!</v>
      </c>
    </row>
    <row r="230">
      <c r="A230" s="1" t="s">
        <v>91</v>
      </c>
      <c r="B230" s="1" t="str">
        <f>K230</f>
        <v xml:space="preserve">20 Personnel</v>
      </c>
      <c r="C230" s="1" t="str">
        <f>L230</f>
        <v>Office</v>
      </c>
      <c r="D230" s="14" t="s">
        <v>329</v>
      </c>
      <c r="E230" s="1" t="s">
        <v>17</v>
      </c>
      <c r="F230" s="1" t="s">
        <v>97</v>
      </c>
      <c r="G230" s="1" t="s">
        <v>260</v>
      </c>
      <c r="H230" s="1" t="s">
        <v>97</v>
      </c>
      <c r="I230" s="1" t="s">
        <v>260</v>
      </c>
      <c r="J230" s="1" t="s">
        <v>285</v>
      </c>
      <c r="K230" s="1" t="s">
        <v>285</v>
      </c>
      <c r="L230" s="1" t="str">
        <f t="shared" si="8"/>
        <v>Office</v>
      </c>
      <c r="M230" s="1" t="s">
        <v>97</v>
      </c>
      <c r="N230" s="1" t="str">
        <f t="shared" si="10"/>
        <v>Office</v>
      </c>
      <c r="O230" s="1" t="s">
        <v>97</v>
      </c>
      <c r="P230" s="1" t="e">
        <f t="shared" si="11"/>
        <v>#REF!</v>
      </c>
    </row>
    <row r="231">
      <c r="A231" s="1" t="s">
        <v>91</v>
      </c>
      <c r="B231" s="1" t="str">
        <f>K231</f>
        <v xml:space="preserve">20 Personnel</v>
      </c>
      <c r="C231" s="1" t="str">
        <f>L231</f>
        <v>Office</v>
      </c>
      <c r="D231" t="s">
        <v>330</v>
      </c>
      <c r="E231" s="1" t="s">
        <v>17</v>
      </c>
      <c r="F231" s="1" t="s">
        <v>97</v>
      </c>
      <c r="G231" s="1" t="s">
        <v>260</v>
      </c>
      <c r="H231" s="1" t="s">
        <v>97</v>
      </c>
      <c r="I231" s="1" t="s">
        <v>260</v>
      </c>
      <c r="J231" s="1" t="s">
        <v>285</v>
      </c>
      <c r="K231" s="1" t="s">
        <v>285</v>
      </c>
      <c r="L231" s="1" t="str">
        <f t="shared" si="8"/>
        <v>Office</v>
      </c>
      <c r="M231" s="1" t="s">
        <v>97</v>
      </c>
      <c r="N231" s="1" t="str">
        <f t="shared" si="10"/>
        <v>Office</v>
      </c>
      <c r="O231" s="1" t="s">
        <v>97</v>
      </c>
      <c r="P231" s="1" t="e">
        <f t="shared" si="11"/>
        <v>#REF!</v>
      </c>
    </row>
    <row r="232">
      <c r="A232" s="1" t="s">
        <v>91</v>
      </c>
      <c r="B232" s="1" t="str">
        <f>K232</f>
        <v xml:space="preserve">20 Personnel</v>
      </c>
      <c r="C232" s="1" t="str">
        <f>L232</f>
        <v xml:space="preserve">Communication Specialist</v>
      </c>
      <c r="D232" s="12" t="s">
        <v>331</v>
      </c>
      <c r="E232" s="1" t="s">
        <v>17</v>
      </c>
      <c r="F232" s="1" t="s">
        <v>97</v>
      </c>
      <c r="G232" s="1" t="s">
        <v>332</v>
      </c>
      <c r="H232" s="1" t="s">
        <v>97</v>
      </c>
      <c r="I232" s="1" t="s">
        <v>332</v>
      </c>
      <c r="J232" s="1" t="s">
        <v>285</v>
      </c>
      <c r="K232" s="1" t="s">
        <v>285</v>
      </c>
      <c r="L232" s="1" t="str">
        <f t="shared" si="8"/>
        <v xml:space="preserve">Communication Specialist</v>
      </c>
      <c r="M232" s="1" t="s">
        <v>97</v>
      </c>
      <c r="N232" s="1" t="str">
        <f t="shared" si="10"/>
        <v xml:space="preserve">Communication Specialist</v>
      </c>
      <c r="O232" s="1" t="s">
        <v>97</v>
      </c>
      <c r="P232" s="1" t="e">
        <f t="shared" si="11"/>
        <v>#REF!</v>
      </c>
    </row>
    <row r="233">
      <c r="A233" s="1" t="s">
        <v>91</v>
      </c>
      <c r="B233" s="1" t="str">
        <f>K233</f>
        <v xml:space="preserve">20 Personnel</v>
      </c>
      <c r="C233" s="1" t="str">
        <f>L233</f>
        <v xml:space="preserve">Communication Specialist</v>
      </c>
      <c r="D233" s="12" t="s">
        <v>333</v>
      </c>
      <c r="E233" s="1" t="s">
        <v>17</v>
      </c>
      <c r="F233" s="1" t="s">
        <v>97</v>
      </c>
      <c r="G233" s="1" t="s">
        <v>332</v>
      </c>
      <c r="H233" s="1" t="s">
        <v>97</v>
      </c>
      <c r="I233" s="1" t="s">
        <v>332</v>
      </c>
      <c r="J233" s="1" t="s">
        <v>285</v>
      </c>
      <c r="K233" s="1" t="s">
        <v>285</v>
      </c>
      <c r="L233" s="1" t="str">
        <f t="shared" si="8"/>
        <v xml:space="preserve">Communication Specialist</v>
      </c>
      <c r="M233" s="1" t="s">
        <v>97</v>
      </c>
      <c r="N233" s="1" t="str">
        <f t="shared" si="10"/>
        <v xml:space="preserve">Communication Specialist</v>
      </c>
      <c r="O233" s="1" t="s">
        <v>97</v>
      </c>
      <c r="P233" s="1" t="e">
        <f t="shared" si="11"/>
        <v>#REF!</v>
      </c>
    </row>
    <row r="234">
      <c r="A234" s="1" t="s">
        <v>91</v>
      </c>
      <c r="B234" s="1" t="str">
        <f>K234</f>
        <v xml:space="preserve">20 Personnel</v>
      </c>
      <c r="C234" s="1" t="str">
        <f>L234</f>
        <v xml:space="preserve">Communication Specialist</v>
      </c>
      <c r="D234" s="12" t="s">
        <v>334</v>
      </c>
      <c r="E234" s="1" t="s">
        <v>17</v>
      </c>
      <c r="F234" s="1" t="s">
        <v>97</v>
      </c>
      <c r="G234" s="1" t="s">
        <v>332</v>
      </c>
      <c r="H234" s="1" t="s">
        <v>97</v>
      </c>
      <c r="I234" s="1" t="s">
        <v>332</v>
      </c>
      <c r="J234" s="1" t="s">
        <v>285</v>
      </c>
      <c r="K234" s="1" t="s">
        <v>285</v>
      </c>
      <c r="L234" s="1" t="str">
        <f t="shared" si="8"/>
        <v xml:space="preserve">Communication Specialist</v>
      </c>
      <c r="M234" s="1" t="s">
        <v>97</v>
      </c>
      <c r="N234" s="1" t="str">
        <f t="shared" si="10"/>
        <v xml:space="preserve">Communication Specialist</v>
      </c>
      <c r="O234" s="1" t="s">
        <v>97</v>
      </c>
      <c r="P234" s="1" t="e">
        <f t="shared" si="11"/>
        <v>#REF!</v>
      </c>
    </row>
    <row r="235">
      <c r="A235" s="1" t="s">
        <v>91</v>
      </c>
      <c r="B235" s="1" t="str">
        <f>K235</f>
        <v xml:space="preserve">20 Personnel</v>
      </c>
      <c r="C235" s="1" t="str">
        <f>L235</f>
        <v xml:space="preserve">Communication Specialist</v>
      </c>
      <c r="D235" s="12" t="s">
        <v>335</v>
      </c>
      <c r="E235" s="8" t="s">
        <v>63</v>
      </c>
      <c r="F235" s="1" t="s">
        <v>97</v>
      </c>
      <c r="G235" s="1" t="s">
        <v>332</v>
      </c>
      <c r="H235" s="1" t="s">
        <v>97</v>
      </c>
      <c r="I235" s="1" t="s">
        <v>332</v>
      </c>
      <c r="J235" s="1" t="s">
        <v>285</v>
      </c>
      <c r="K235" s="1" t="s">
        <v>285</v>
      </c>
      <c r="L235" s="1" t="str">
        <f t="shared" si="8"/>
        <v xml:space="preserve">Communication Specialist</v>
      </c>
      <c r="M235" s="1" t="s">
        <v>97</v>
      </c>
      <c r="N235" s="1" t="str">
        <f t="shared" si="10"/>
        <v xml:space="preserve">Communication Specialist</v>
      </c>
      <c r="O235" s="1" t="s">
        <v>97</v>
      </c>
      <c r="P235" s="1" t="e">
        <f t="shared" si="11"/>
        <v>#REF!</v>
      </c>
    </row>
    <row r="236">
      <c r="A236" s="1" t="s">
        <v>15</v>
      </c>
      <c r="B236" s="1" t="str">
        <f>K236</f>
        <v xml:space="preserve">Linear Adjustment</v>
      </c>
      <c r="C236" s="1" t="str">
        <f>L236</f>
        <v>.</v>
      </c>
      <c r="D236" s="17" t="s">
        <v>336</v>
      </c>
      <c r="E236" s="10" t="s">
        <v>17</v>
      </c>
      <c r="F236" s="1" t="s">
        <v>337</v>
      </c>
      <c r="G236" s="1" t="s">
        <v>337</v>
      </c>
      <c r="H236" s="1" t="s">
        <v>337</v>
      </c>
      <c r="I236" s="1" t="s">
        <v>337</v>
      </c>
      <c r="J236" s="1" t="s">
        <v>338</v>
      </c>
      <c r="K236" s="1" t="s">
        <v>338</v>
      </c>
      <c r="L236" s="1" t="s">
        <v>22</v>
      </c>
      <c r="M236" s="1" t="s">
        <v>338</v>
      </c>
      <c r="N236" s="1" t="s">
        <v>22</v>
      </c>
      <c r="O236" s="1" t="s">
        <v>54</v>
      </c>
      <c r="P236" s="1" t="e">
        <f t="shared" si="11"/>
        <v>#REF!</v>
      </c>
    </row>
    <row r="237">
      <c r="A237" s="1" t="s">
        <v>15</v>
      </c>
      <c r="B237" s="1" t="str">
        <f>K237</f>
        <v xml:space="preserve">Linear Adjustment</v>
      </c>
      <c r="C237" s="1" t="str">
        <f>L237</f>
        <v>.</v>
      </c>
      <c r="D237" s="17" t="s">
        <v>339</v>
      </c>
      <c r="E237" s="10" t="s">
        <v>17</v>
      </c>
      <c r="F237" s="1" t="s">
        <v>337</v>
      </c>
      <c r="G237" s="1" t="s">
        <v>337</v>
      </c>
      <c r="H237" s="1" t="s">
        <v>337</v>
      </c>
      <c r="I237" s="1" t="s">
        <v>337</v>
      </c>
      <c r="J237" s="1" t="s">
        <v>338</v>
      </c>
      <c r="K237" s="1" t="s">
        <v>338</v>
      </c>
      <c r="L237" s="1" t="s">
        <v>22</v>
      </c>
      <c r="M237" s="1" t="s">
        <v>338</v>
      </c>
      <c r="N237" s="1" t="s">
        <v>22</v>
      </c>
      <c r="O237" s="1" t="s">
        <v>54</v>
      </c>
      <c r="P237" s="1" t="e">
        <f t="shared" si="11"/>
        <v>#REF!</v>
      </c>
    </row>
    <row r="238">
      <c r="A238" s="1" t="s">
        <v>15</v>
      </c>
      <c r="B238" s="1" t="str">
        <f>K238</f>
        <v xml:space="preserve">Linear Adjustment</v>
      </c>
      <c r="C238" s="1" t="str">
        <f>L238</f>
        <v>.</v>
      </c>
      <c r="D238" s="17" t="s">
        <v>340</v>
      </c>
      <c r="E238" s="1" t="s">
        <v>68</v>
      </c>
      <c r="F238" s="1" t="s">
        <v>337</v>
      </c>
      <c r="G238" s="1" t="s">
        <v>337</v>
      </c>
      <c r="H238" s="1" t="s">
        <v>337</v>
      </c>
      <c r="I238" s="1" t="s">
        <v>337</v>
      </c>
      <c r="J238" s="1" t="s">
        <v>338</v>
      </c>
      <c r="K238" s="1" t="s">
        <v>338</v>
      </c>
      <c r="L238" s="1" t="s">
        <v>22</v>
      </c>
      <c r="M238" s="1" t="s">
        <v>338</v>
      </c>
      <c r="N238" s="1" t="s">
        <v>22</v>
      </c>
      <c r="O238" s="1" t="s">
        <v>54</v>
      </c>
      <c r="P238" s="1" t="e">
        <f t="shared" si="11"/>
        <v>#REF!</v>
      </c>
    </row>
    <row r="239" ht="12.75">
      <c r="A239" s="1" t="s">
        <v>15</v>
      </c>
      <c r="B239" s="1" t="str">
        <f>K239</f>
        <v xml:space="preserve">Linear Adjustment</v>
      </c>
      <c r="C239" s="1" t="str">
        <f>L239</f>
        <v>.</v>
      </c>
      <c r="D239" s="18" t="s">
        <v>341</v>
      </c>
      <c r="E239" s="18" t="s">
        <v>68</v>
      </c>
      <c r="F239" s="1" t="s">
        <v>337</v>
      </c>
      <c r="G239" s="1" t="s">
        <v>337</v>
      </c>
      <c r="H239" s="1" t="s">
        <v>337</v>
      </c>
      <c r="I239" s="1" t="s">
        <v>337</v>
      </c>
      <c r="J239" s="1" t="s">
        <v>338</v>
      </c>
      <c r="K239" s="1" t="s">
        <v>338</v>
      </c>
      <c r="L239" s="1" t="s">
        <v>22</v>
      </c>
      <c r="M239" s="1" t="s">
        <v>338</v>
      </c>
      <c r="N239" s="1" t="s">
        <v>22</v>
      </c>
      <c r="O239" s="1" t="s">
        <v>54</v>
      </c>
      <c r="P239" s="1" t="e">
        <f t="shared" si="11"/>
        <v>#REF!</v>
      </c>
    </row>
    <row r="240" ht="12.75">
      <c r="A240" s="1" t="s">
        <v>15</v>
      </c>
      <c r="B240" s="1" t="str">
        <f>K240</f>
        <v xml:space="preserve">Linear Adjustment</v>
      </c>
      <c r="C240" s="1" t="str">
        <f>L240</f>
        <v>.</v>
      </c>
      <c r="D240" s="19" t="s">
        <v>342</v>
      </c>
      <c r="E240" s="10" t="s">
        <v>63</v>
      </c>
      <c r="F240" s="1" t="s">
        <v>337</v>
      </c>
      <c r="G240" s="1" t="s">
        <v>337</v>
      </c>
      <c r="H240" s="1" t="s">
        <v>337</v>
      </c>
      <c r="I240" s="1" t="s">
        <v>337</v>
      </c>
      <c r="J240" s="1" t="s">
        <v>338</v>
      </c>
      <c r="K240" s="1" t="s">
        <v>338</v>
      </c>
      <c r="L240" s="1" t="s">
        <v>22</v>
      </c>
      <c r="M240" s="1" t="s">
        <v>338</v>
      </c>
      <c r="N240" s="1" t="s">
        <v>22</v>
      </c>
      <c r="O240" s="1" t="s">
        <v>54</v>
      </c>
      <c r="P240" s="1" t="e">
        <f t="shared" si="11"/>
        <v>#REF!</v>
      </c>
    </row>
    <row r="241" ht="12.75">
      <c r="A241" s="1" t="s">
        <v>15</v>
      </c>
      <c r="B241" s="1" t="str">
        <f>K241</f>
        <v xml:space="preserve">Linear Adjustment</v>
      </c>
      <c r="C241" s="1" t="str">
        <f>L241</f>
        <v>.</v>
      </c>
      <c r="D241" s="17" t="s">
        <v>343</v>
      </c>
      <c r="E241" s="10" t="s">
        <v>74</v>
      </c>
      <c r="F241" s="1" t="s">
        <v>337</v>
      </c>
      <c r="G241" s="1" t="s">
        <v>337</v>
      </c>
      <c r="H241" s="1" t="s">
        <v>337</v>
      </c>
      <c r="I241" s="1" t="s">
        <v>337</v>
      </c>
      <c r="J241" s="1" t="s">
        <v>338</v>
      </c>
      <c r="K241" s="1" t="s">
        <v>338</v>
      </c>
      <c r="L241" s="1" t="s">
        <v>22</v>
      </c>
      <c r="M241" s="1" t="s">
        <v>338</v>
      </c>
      <c r="N241" s="1" t="s">
        <v>22</v>
      </c>
      <c r="O241" s="1" t="s">
        <v>54</v>
      </c>
      <c r="P241" s="1" t="e">
        <f t="shared" si="11"/>
        <v>#REF!</v>
      </c>
    </row>
    <row r="242" ht="12.75">
      <c r="A242" s="1" t="s">
        <v>15</v>
      </c>
      <c r="B242" s="1" t="str">
        <f>K242</f>
        <v xml:space="preserve">Linear Adjustment</v>
      </c>
      <c r="C242" s="1" t="str">
        <f>L242</f>
        <v>.</v>
      </c>
      <c r="D242" s="17" t="s">
        <v>344</v>
      </c>
      <c r="E242" s="10" t="s">
        <v>74</v>
      </c>
      <c r="F242" s="1" t="s">
        <v>337</v>
      </c>
      <c r="G242" s="1" t="s">
        <v>337</v>
      </c>
      <c r="H242" s="1" t="s">
        <v>337</v>
      </c>
      <c r="I242" s="1" t="s">
        <v>337</v>
      </c>
      <c r="J242" s="1" t="s">
        <v>338</v>
      </c>
      <c r="K242" s="1" t="s">
        <v>338</v>
      </c>
      <c r="L242" s="1" t="s">
        <v>22</v>
      </c>
      <c r="M242" s="1" t="s">
        <v>338</v>
      </c>
      <c r="N242" s="1" t="s">
        <v>22</v>
      </c>
      <c r="O242" s="1" t="s">
        <v>54</v>
      </c>
      <c r="P242" s="1" t="e">
        <f t="shared" si="11"/>
        <v>#REF!</v>
      </c>
    </row>
    <row r="243" ht="12.75">
      <c r="A243" s="1" t="s">
        <v>15</v>
      </c>
      <c r="B243" s="1" t="str">
        <f>K243</f>
        <v xml:space="preserve">Linear Adjustment</v>
      </c>
      <c r="C243" s="1" t="str">
        <f>L243</f>
        <v>.</v>
      </c>
      <c r="D243" s="10" t="s">
        <v>345</v>
      </c>
      <c r="E243" s="10" t="s">
        <v>74</v>
      </c>
      <c r="F243" s="1" t="s">
        <v>337</v>
      </c>
      <c r="G243" s="1" t="s">
        <v>337</v>
      </c>
      <c r="H243" s="1" t="s">
        <v>337</v>
      </c>
      <c r="I243" s="1" t="s">
        <v>337</v>
      </c>
      <c r="J243" s="1" t="s">
        <v>338</v>
      </c>
      <c r="K243" s="1" t="s">
        <v>338</v>
      </c>
      <c r="L243" s="1" t="s">
        <v>22</v>
      </c>
      <c r="M243" s="1" t="s">
        <v>338</v>
      </c>
      <c r="N243" s="1" t="s">
        <v>22</v>
      </c>
      <c r="O243" s="1" t="s">
        <v>54</v>
      </c>
      <c r="P243" s="1" t="e">
        <f t="shared" si="11"/>
        <v>#REF!</v>
      </c>
    </row>
  </sheetData>
  <autoFilter ref="A1:P243"/>
  <printOptions headings="1" gridLines="0"/>
  <pageMargins left="0.5" right="0.5" top="0.5" bottom="0.5" header="0" footer="0"/>
  <pageSetup paperSize="9" scale="40" fitToWidth="1" fitToHeight="0" pageOrder="downThenOver" orientation="landscape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9" id="{004F00C3-00DC-4D04-B9E3-00CE004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A35 D35 F35:K35</xm:sqref>
        </x14:conditionalFormatting>
        <x14:conditionalFormatting xmlns:xm="http://schemas.microsoft.com/office/excel/2006/main">
          <x14:cfRule type="expression" priority="30" id="{005F00BA-00D4-434B-847E-00E00072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A106 K106</xm:sqref>
        </x14:conditionalFormatting>
        <x14:conditionalFormatting xmlns:xm="http://schemas.microsoft.com/office/excel/2006/main">
          <x14:cfRule type="expression" priority="3" id="{00C6004E-00A0-44AC-A9B3-00B40098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D204 F204:I204</xm:sqref>
        </x14:conditionalFormatting>
        <x14:conditionalFormatting xmlns:xm="http://schemas.microsoft.com/office/excel/2006/main">
          <x14:cfRule type="expression" priority="4" id="{001600C8-002D-451C-BC69-00DC00A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A205 D205</xm:sqref>
        </x14:conditionalFormatting>
        <x14:conditionalFormatting xmlns:xm="http://schemas.microsoft.com/office/excel/2006/main">
          <x14:cfRule type="expression" priority="2" id="{009300CC-009E-4372-960E-00DB0096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A148:C148 A149:D238 A239:C239 A240:C243 A244:D10007 A2 C2:D2 A3:D26 A27:C27 A27:D35 A36:C36 A37:D147 K2:L10007 P2:P10007</xm:sqref>
        </x14:conditionalFormatting>
        <x14:conditionalFormatting xmlns:xm="http://schemas.microsoft.com/office/excel/2006/main">
          <x14:cfRule type="expression" priority="6724" id="{00BD00BA-00F1-4880-AFA1-003700AC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A147 D147 F147:K147 P147</xm:sqref>
        </x14:conditionalFormatting>
        <x14:conditionalFormatting xmlns:xm="http://schemas.microsoft.com/office/excel/2006/main">
          <x14:cfRule type="expression" priority="6720" id="{00BD00FB-004D-410F-B602-00FF006F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A148 D148 F148:K148 P148</xm:sqref>
        </x14:conditionalFormatting>
        <x14:conditionalFormatting xmlns:xm="http://schemas.microsoft.com/office/excel/2006/main">
          <x14:cfRule type="expression" priority="11" id="{007D0028-0065-4E04-B71E-009D00D7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D15</xm:sqref>
        </x14:conditionalFormatting>
        <x14:conditionalFormatting xmlns:xm="http://schemas.microsoft.com/office/excel/2006/main">
          <x14:cfRule type="expression" priority="8" id="{00B20001-00C6-48A1-B6A9-00FA0003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D25</xm:sqref>
        </x14:conditionalFormatting>
        <x14:conditionalFormatting xmlns:xm="http://schemas.microsoft.com/office/excel/2006/main">
          <x14:cfRule type="expression" priority="12" id="{00B400B0-00C8-4E2A-A47D-000D0039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D88</xm:sqref>
        </x14:conditionalFormatting>
        <x14:conditionalFormatting xmlns:xm="http://schemas.microsoft.com/office/excel/2006/main">
          <x14:cfRule type="expression" priority="6" id="{00F20003-00E5-49FC-AF9A-00E900AF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D101</xm:sqref>
        </x14:conditionalFormatting>
        <x14:conditionalFormatting xmlns:xm="http://schemas.microsoft.com/office/excel/2006/main">
          <x14:cfRule type="expression" priority="7" id="{0001003E-002C-4A05-9A32-000400A0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D149</xm:sqref>
        </x14:conditionalFormatting>
        <x14:conditionalFormatting xmlns:xm="http://schemas.microsoft.com/office/excel/2006/main">
          <x14:cfRule type="expression" priority="9" id="{00720083-0071-48FF-858B-00700039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D231</xm:sqref>
        </x14:conditionalFormatting>
        <x14:conditionalFormatting xmlns:xm="http://schemas.microsoft.com/office/excel/2006/main">
          <x14:cfRule type="expression" priority="10" id="{008F0089-0014-4458-BE1D-00640090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D232</xm:sqref>
        </x14:conditionalFormatting>
        <x14:conditionalFormatting xmlns:xm="http://schemas.microsoft.com/office/excel/2006/main">
          <x14:cfRule type="expression" priority="5" id="{001400B2-00D8-4257-81C2-00D50072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D28:I28</xm:sqref>
        </x14:conditionalFormatting>
        <x14:conditionalFormatting xmlns:xm="http://schemas.microsoft.com/office/excel/2006/main">
          <x14:cfRule type="expression" priority="330" id="{0013007F-0013-4BE3-A63D-00D500B7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E24:F24</xm:sqref>
        </x14:conditionalFormatting>
        <x14:conditionalFormatting xmlns:xm="http://schemas.microsoft.com/office/excel/2006/main">
          <x14:cfRule type="expression" priority="230" id="{000B00BE-0067-4561-8556-00E400EF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477" id="{00FA00DF-0069-4137-B0B0-00E00022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</xm:sqref>
        </x14:conditionalFormatting>
        <x14:conditionalFormatting xmlns:xm="http://schemas.microsoft.com/office/excel/2006/main">
          <x14:cfRule type="expression" priority="327" id="{00060047-006D-418D-A87E-00BA00B5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</xm:sqref>
        </x14:conditionalFormatting>
        <x14:conditionalFormatting xmlns:xm="http://schemas.microsoft.com/office/excel/2006/main">
          <x14:cfRule type="expression" priority="328" id="{007C001A-0003-4F30-95A2-0084001C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309" id="{005D005F-0086-4665-8499-00C800FE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329" id="{008500DA-008C-4AA9-A67A-00AD0040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308" id="{002600D5-0000-4E02-8A90-00B90095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F16</xm:sqref>
        </x14:conditionalFormatting>
        <x14:conditionalFormatting xmlns:xm="http://schemas.microsoft.com/office/excel/2006/main">
          <x14:cfRule type="expression" priority="307" id="{004F00C9-0048-4A5C-A9E2-002D0059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 I56:I59 Q56:Q59</xm:sqref>
        </x14:conditionalFormatting>
        <x14:conditionalFormatting xmlns:xm="http://schemas.microsoft.com/office/excel/2006/main">
          <x14:cfRule type="expression" priority="306" id="{00C10009-0003-4818-9505-00A30092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 G45:G48 I45:I48 I50:I55 Q45:Q48 Q50:Q55 G37:G43 I37:I43 Q37:Q43</xm:sqref>
        </x14:conditionalFormatting>
        <x14:conditionalFormatting xmlns:xm="http://schemas.microsoft.com/office/excel/2006/main">
          <x14:cfRule type="expression" priority="305" id="{00840072-007C-4D42-8A31-00A100B6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3501" id="{00480039-0028-482B-AE7D-0053002B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317" id="{00F5002D-005F-4EAE-9EF1-00950066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F27</xm:sqref>
        </x14:conditionalFormatting>
        <x14:conditionalFormatting xmlns:xm="http://schemas.microsoft.com/office/excel/2006/main">
          <x14:cfRule type="expression" priority="268" id="{001600CB-00AA-45D3-8964-00A100D0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F45</xm:sqref>
        </x14:conditionalFormatting>
        <x14:conditionalFormatting xmlns:xm="http://schemas.microsoft.com/office/excel/2006/main">
          <x14:cfRule type="expression" priority="487" id="{00F90026-0075-4CE8-8938-0003006C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F47</xm:sqref>
        </x14:conditionalFormatting>
        <x14:conditionalFormatting xmlns:xm="http://schemas.microsoft.com/office/excel/2006/main">
          <x14:cfRule type="expression" priority="6718" id="{00220014-0045-47A1-AD44-000C007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3519" id="{00F9004F-002D-4908-B832-000000A9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F52</xm:sqref>
        </x14:conditionalFormatting>
        <x14:conditionalFormatting xmlns:xm="http://schemas.microsoft.com/office/excel/2006/main">
          <x14:cfRule type="expression" priority="3528" id="{00FA00E7-00CE-459A-8A67-000300F0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F56</xm:sqref>
        </x14:conditionalFormatting>
        <x14:conditionalFormatting xmlns:xm="http://schemas.microsoft.com/office/excel/2006/main">
          <x14:cfRule type="expression" priority="3537" id="{00FF001C-00C3-4E5F-BC64-009D00EA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F59</xm:sqref>
        </x14:conditionalFormatting>
        <x14:conditionalFormatting xmlns:xm="http://schemas.microsoft.com/office/excel/2006/main">
          <x14:cfRule type="expression" priority="3546" id="{001A0001-00DF-446E-A417-00CB0029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F63</xm:sqref>
        </x14:conditionalFormatting>
        <x14:conditionalFormatting xmlns:xm="http://schemas.microsoft.com/office/excel/2006/main">
          <x14:cfRule type="expression" priority="3555" id="{002B008A-00C4-452E-BACE-00750001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F65</xm:sqref>
        </x14:conditionalFormatting>
        <x14:conditionalFormatting xmlns:xm="http://schemas.microsoft.com/office/excel/2006/main">
          <x14:cfRule type="expression" priority="245" id="{0096004A-00E4-465B-877A-00FC008D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3564" id="{00E7002D-00D5-46AA-A610-00B900E7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F68</xm:sqref>
        </x14:conditionalFormatting>
        <x14:conditionalFormatting xmlns:xm="http://schemas.microsoft.com/office/excel/2006/main">
          <x14:cfRule type="expression" priority="239" id="{00600087-00C7-46D7-82E0-00C600F8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3573" id="{00760021-007B-48C1-979D-00F100FC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F73</xm:sqref>
        </x14:conditionalFormatting>
        <x14:conditionalFormatting xmlns:xm="http://schemas.microsoft.com/office/excel/2006/main">
          <x14:cfRule type="expression" priority="266" id="{00D000FA-000F-4702-9CC5-00C5001E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F80 G105:G114 I105:I114</xm:sqref>
        </x14:conditionalFormatting>
        <x14:conditionalFormatting xmlns:xm="http://schemas.microsoft.com/office/excel/2006/main">
          <x14:cfRule type="expression" priority="332" id="{00870088-002C-4289-9234-00FE00B3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F88</xm:sqref>
        </x14:conditionalFormatting>
        <x14:conditionalFormatting xmlns:xm="http://schemas.microsoft.com/office/excel/2006/main">
          <x14:cfRule type="expression" priority="333" id="{00DD005C-007C-4815-BDC6-00F4004E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F95</xm:sqref>
        </x14:conditionalFormatting>
        <x14:conditionalFormatting xmlns:xm="http://schemas.microsoft.com/office/excel/2006/main">
          <x14:cfRule type="expression" priority="299" id="{00D100AF-00F5-49C8-89B7-00D3004D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F115</xm:sqref>
        </x14:conditionalFormatting>
        <x14:conditionalFormatting xmlns:xm="http://schemas.microsoft.com/office/excel/2006/main">
          <x14:cfRule type="expression" priority="298" id="{007B00E5-0030-4684-B725-00360075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F130</xm:sqref>
        </x14:conditionalFormatting>
        <x14:conditionalFormatting xmlns:xm="http://schemas.microsoft.com/office/excel/2006/main">
          <x14:cfRule type="expression" priority="274" id="{003400F4-00A4-4910-BC05-001C00E4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F187</xm:sqref>
        </x14:conditionalFormatting>
        <x14:conditionalFormatting xmlns:xm="http://schemas.microsoft.com/office/excel/2006/main">
          <x14:cfRule type="expression" priority="260" id="{00DD00E6-008C-4965-9130-003000E9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F196</xm:sqref>
        </x14:conditionalFormatting>
        <x14:conditionalFormatting xmlns:xm="http://schemas.microsoft.com/office/excel/2006/main">
          <x14:cfRule type="expression" priority="296" id="{00C10073-00C6-4FAE-9095-001700B9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F199</xm:sqref>
        </x14:conditionalFormatting>
        <x14:conditionalFormatting xmlns:xm="http://schemas.microsoft.com/office/excel/2006/main">
          <x14:cfRule type="expression" priority="295" id="{00BE003B-00BC-45DA-A767-00D600A9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F219</xm:sqref>
        </x14:conditionalFormatting>
        <x14:conditionalFormatting xmlns:xm="http://schemas.microsoft.com/office/excel/2006/main">
          <x14:cfRule type="expression" priority="342" id="{00EE00E4-001F-4DFB-9A22-002B0057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F230</xm:sqref>
        </x14:conditionalFormatting>
        <x14:conditionalFormatting xmlns:xm="http://schemas.microsoft.com/office/excel/2006/main">
          <x14:cfRule type="expression" priority="231" id="{007B004B-00DD-47A1-9A76-00F70015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F2:G25</xm:sqref>
        </x14:conditionalFormatting>
        <x14:conditionalFormatting xmlns:xm="http://schemas.microsoft.com/office/excel/2006/main">
          <x14:cfRule type="expression" priority="301" id="{00640006-0090-4328-8629-001D0062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F30:G30</xm:sqref>
        </x14:conditionalFormatting>
        <x14:conditionalFormatting xmlns:xm="http://schemas.microsoft.com/office/excel/2006/main">
          <x14:cfRule type="expression" priority="353" id="{003900D2-005F-4599-AF81-002400DD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F205:G205</xm:sqref>
        </x14:conditionalFormatting>
        <x14:conditionalFormatting xmlns:xm="http://schemas.microsoft.com/office/excel/2006/main">
          <x14:cfRule type="expression" priority="54" id="{002500A0-00CD-441C-92AC-00E900FD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F12:H12</xm:sqref>
        </x14:conditionalFormatting>
        <x14:conditionalFormatting xmlns:xm="http://schemas.microsoft.com/office/excel/2006/main">
          <x14:cfRule type="expression" priority="95" id="{000A00FF-00DD-4D74-81AE-00920097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F38:H38</xm:sqref>
        </x14:conditionalFormatting>
        <x14:conditionalFormatting xmlns:xm="http://schemas.microsoft.com/office/excel/2006/main">
          <x14:cfRule type="expression" priority="64" id="{00E600CC-0056-49AC-A5F6-004F001C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F75:H75</xm:sqref>
        </x14:conditionalFormatting>
        <x14:conditionalFormatting xmlns:xm="http://schemas.microsoft.com/office/excel/2006/main">
          <x14:cfRule type="expression" priority="67" id="{00050005-00CC-474F-A6A6-00FA00F0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F153:H153</xm:sqref>
        </x14:conditionalFormatting>
        <x14:conditionalFormatting xmlns:xm="http://schemas.microsoft.com/office/excel/2006/main">
          <x14:cfRule type="expression" priority="70" id="{009E000B-0056-4CBB-84F4-00B600EE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F226:H226</xm:sqref>
        </x14:conditionalFormatting>
        <x14:conditionalFormatting xmlns:xm="http://schemas.microsoft.com/office/excel/2006/main">
          <x14:cfRule type="expression" priority="41" id="{00BA006C-0021-4A7B-A2D7-0022009D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F23:I23</xm:sqref>
        </x14:conditionalFormatting>
        <x14:conditionalFormatting xmlns:xm="http://schemas.microsoft.com/office/excel/2006/main">
          <x14:cfRule type="expression" priority="111" id="{004400D0-00EE-4A11-A0D1-002200BB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F44:I44</xm:sqref>
        </x14:conditionalFormatting>
        <x14:conditionalFormatting xmlns:xm="http://schemas.microsoft.com/office/excel/2006/main">
          <x14:cfRule type="expression" priority="120" id="{00600032-0015-4897-AB75-001000CA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F49:I49</xm:sqref>
        </x14:conditionalFormatting>
        <x14:conditionalFormatting xmlns:xm="http://schemas.microsoft.com/office/excel/2006/main">
          <x14:cfRule type="expression" priority="72" id="{002D005D-0051-4C3F-B001-004600E9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F118:I118</xm:sqref>
        </x14:conditionalFormatting>
        <x14:conditionalFormatting xmlns:xm="http://schemas.microsoft.com/office/excel/2006/main">
          <x14:cfRule type="expression" priority="73" id="{00DD0024-00FA-4AA0-B281-008E007F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F138:I138</xm:sqref>
        </x14:conditionalFormatting>
        <x14:conditionalFormatting xmlns:xm="http://schemas.microsoft.com/office/excel/2006/main">
          <x14:cfRule type="expression" priority="75" id="{0014000C-0096-4035-BB99-00C60047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F149:I149</xm:sqref>
        </x14:conditionalFormatting>
        <x14:conditionalFormatting xmlns:xm="http://schemas.microsoft.com/office/excel/2006/main">
          <x14:cfRule type="expression" priority="76" id="{00350058-0074-4432-9884-0041001C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F159:I159</xm:sqref>
        </x14:conditionalFormatting>
        <x14:conditionalFormatting xmlns:xm="http://schemas.microsoft.com/office/excel/2006/main">
          <x14:cfRule type="expression" priority="82" id="{00DF00C9-0051-46F0-9353-00F4009F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F220:I220</xm:sqref>
        </x14:conditionalFormatting>
        <x14:conditionalFormatting xmlns:xm="http://schemas.microsoft.com/office/excel/2006/main">
          <x14:cfRule type="expression" priority="83" id="{0008004D-006E-4952-8EC7-00490058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F231:I231</xm:sqref>
        </x14:conditionalFormatting>
        <x14:conditionalFormatting xmlns:xm="http://schemas.microsoft.com/office/excel/2006/main">
          <x14:cfRule type="expression" priority="229" id="{000B00FE-00DC-40AA-879C-00D00014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G2:G19</xm:sqref>
        </x14:conditionalFormatting>
        <x14:conditionalFormatting xmlns:xm="http://schemas.microsoft.com/office/excel/2006/main">
          <x14:cfRule type="expression" priority="315" id="{00110060-005C-48B4-883B-0003004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G20:G34 G75:G79 G115:G117 G130:G137 G153:G158 G199:G203 G226:G229</xm:sqref>
        </x14:conditionalFormatting>
        <x14:conditionalFormatting xmlns:xm="http://schemas.microsoft.com/office/excel/2006/main">
          <x14:cfRule type="expression" priority="318" id="{007600CB-0077-4CA6-A6D5-00AD005400FB}">
            <xm:f>MOD($O26,2)=0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G26 G44 F45:G51 G52:G54 F55:G55 G56 F57:G58 G59:G61 F62:G62 G63 F64:G64 G65 F66:G67 G68 F69:G72 G73:G74 F75:G238 F27:G30 F31:G43</xm:sqref>
        </x14:conditionalFormatting>
        <x14:conditionalFormatting xmlns:xm="http://schemas.microsoft.com/office/excel/2006/main">
          <x14:cfRule type="expression" priority="232" id="{0037002A-0034-4582-8E09-00E70014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G46</xm:sqref>
        </x14:conditionalFormatting>
        <x14:conditionalFormatting xmlns:xm="http://schemas.microsoft.com/office/excel/2006/main">
          <x14:cfRule type="expression" priority="293" id="{00CE00FE-0020-4BD6-A94F-002200FA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G80:G103</xm:sqref>
        </x14:conditionalFormatting>
        <x14:conditionalFormatting xmlns:xm="http://schemas.microsoft.com/office/excel/2006/main">
          <x14:cfRule type="expression" priority="244" id="{00590025-0059-415E-8DAA-00F90002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G104</xm:sqref>
        </x14:conditionalFormatting>
        <x14:conditionalFormatting xmlns:xm="http://schemas.microsoft.com/office/excel/2006/main">
          <x14:cfRule type="expression" priority="358" id="{001900CA-000F-484A-9E3F-004400D3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G117</xm:sqref>
        </x14:conditionalFormatting>
        <x14:conditionalFormatting xmlns:xm="http://schemas.microsoft.com/office/excel/2006/main">
          <x14:cfRule type="expression" priority="290" id="{002E00DE-0064-4CE5-8F39-003A00B1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G143</xm:sqref>
        </x14:conditionalFormatting>
        <x14:conditionalFormatting xmlns:xm="http://schemas.microsoft.com/office/excel/2006/main">
          <x14:cfRule type="expression" priority="286" id="{00810003-001F-4C20-BCC5-00210000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G187:G195</xm:sqref>
        </x14:conditionalFormatting>
        <x14:conditionalFormatting xmlns:xm="http://schemas.microsoft.com/office/excel/2006/main">
          <x14:cfRule type="expression" priority="285" id="{000200D8-00BB-4255-B443-009500FC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G196:G198</xm:sqref>
        </x14:conditionalFormatting>
        <x14:conditionalFormatting xmlns:xm="http://schemas.microsoft.com/office/excel/2006/main">
          <x14:cfRule type="expression" priority="280" id="{005000F1-0020-492C-83A6-0056001D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G238</xm:sqref>
        </x14:conditionalFormatting>
        <x14:conditionalFormatting xmlns:xm="http://schemas.microsoft.com/office/excel/2006/main">
          <x14:cfRule type="expression" priority="35" id="{00EE00E4-00D5-4990-ADFC-00F7002B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G25:I25</xm:sqref>
        </x14:conditionalFormatting>
        <x14:conditionalFormatting xmlns:xm="http://schemas.microsoft.com/office/excel/2006/main">
          <x14:cfRule type="expression" priority="39" id="{00460076-0026-4B25-8DEE-00230005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G29:I29</xm:sqref>
        </x14:conditionalFormatting>
        <x14:conditionalFormatting xmlns:xm="http://schemas.microsoft.com/office/excel/2006/main">
          <x14:cfRule type="expression" priority="124" id="{00550079-009E-4BC7-9896-00C6000C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G60:I60</xm:sqref>
        </x14:conditionalFormatting>
        <x14:conditionalFormatting xmlns:xm="http://schemas.microsoft.com/office/excel/2006/main">
          <x14:cfRule type="expression" priority="142" id="{00C00038-001E-4FEF-BAEA-002D00CF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G61:I61</xm:sqref>
        </x14:conditionalFormatting>
        <x14:conditionalFormatting xmlns:xm="http://schemas.microsoft.com/office/excel/2006/main">
          <x14:cfRule type="expression" priority="200" id="{00D900C8-005B-4E04-9341-0077002F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</xm:sqref>
        </x14:conditionalFormatting>
        <x14:conditionalFormatting xmlns:xm="http://schemas.microsoft.com/office/excel/2006/main">
          <x14:cfRule type="expression" priority="32" id="{003300CC-0045-4B11-9E9D-00CF00E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</xm:sqref>
        </x14:conditionalFormatting>
        <x14:conditionalFormatting xmlns:xm="http://schemas.microsoft.com/office/excel/2006/main">
          <x14:cfRule type="expression" priority="56" id="{00EC006D-0023-4631-AD16-00AA0092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H16</xm:sqref>
        </x14:conditionalFormatting>
        <x14:conditionalFormatting xmlns:xm="http://schemas.microsoft.com/office/excel/2006/main">
          <x14:cfRule type="expression" priority="57" id="{000200A3-000D-4EB8-89B7-00D4009A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</xm:sqref>
        </x14:conditionalFormatting>
        <x14:conditionalFormatting xmlns:xm="http://schemas.microsoft.com/office/excel/2006/main">
          <x14:cfRule type="expression" priority="58" id="{00D6001A-00A3-4375-A36D-00DB001A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</xm:sqref>
        </x14:conditionalFormatting>
        <x14:conditionalFormatting xmlns:xm="http://schemas.microsoft.com/office/excel/2006/main">
          <x14:cfRule type="expression" priority="34" id="{008000D2-0029-4A2F-AAE7-005C00E9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51" id="{009300D9-0006-46A0-8321-0099007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36" id="{00F7005B-0018-48BA-98F5-007500AD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33" id="{0069007E-0052-43DA-A120-00380037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H27</xm:sqref>
        </x14:conditionalFormatting>
        <x14:conditionalFormatting xmlns:xm="http://schemas.microsoft.com/office/excel/2006/main">
          <x14:cfRule type="expression" priority="96" id="{00BF00EB-00DB-4F04-8A56-000800DB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H45</xm:sqref>
        </x14:conditionalFormatting>
        <x14:conditionalFormatting xmlns:xm="http://schemas.microsoft.com/office/excel/2006/main">
          <x14:cfRule type="expression" priority="137" id="{002C008A-0085-428B-A374-00AC0084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52" id="{004B00E4-00E1-4218-A781-00850000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H54</xm:sqref>
        </x14:conditionalFormatting>
        <x14:conditionalFormatting xmlns:xm="http://schemas.microsoft.com/office/excel/2006/main">
          <x14:cfRule type="expression" priority="132" id="{00AA005B-0071-4D6E-90EE-00F3001C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H67</xm:sqref>
        </x14:conditionalFormatting>
        <x14:conditionalFormatting xmlns:xm="http://schemas.microsoft.com/office/excel/2006/main">
          <x14:cfRule type="expression" priority="144" id="{00960010-0001-4D3F-816B-00150064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H72</xm:sqref>
        </x14:conditionalFormatting>
        <x14:conditionalFormatting xmlns:xm="http://schemas.microsoft.com/office/excel/2006/main">
          <x14:cfRule type="expression" priority="85" id="{0073003C-0018-4241-8557-008E00BC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H80</xm:sqref>
        </x14:conditionalFormatting>
        <x14:conditionalFormatting xmlns:xm="http://schemas.microsoft.com/office/excel/2006/main">
          <x14:cfRule type="expression" priority="188" id="{00BB007C-0044-4DA3-B7A1-006000C2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H88</xm:sqref>
        </x14:conditionalFormatting>
        <x14:conditionalFormatting xmlns:xm="http://schemas.microsoft.com/office/excel/2006/main">
          <x14:cfRule type="expression" priority="189" id="{002D0079-0009-4BE0-B865-00AD006F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H95</xm:sqref>
        </x14:conditionalFormatting>
        <x14:conditionalFormatting xmlns:xm="http://schemas.microsoft.com/office/excel/2006/main">
          <x14:cfRule type="expression" priority="193" id="{00150042-008D-4890-88BC-007D008F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H106</xm:sqref>
        </x14:conditionalFormatting>
        <x14:conditionalFormatting xmlns:xm="http://schemas.microsoft.com/office/excel/2006/main">
          <x14:cfRule type="expression" priority="191" id="{000100FE-0062-42E9-A4CD-002600D0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H111</xm:sqref>
        </x14:conditionalFormatting>
        <x14:conditionalFormatting xmlns:xm="http://schemas.microsoft.com/office/excel/2006/main">
          <x14:cfRule type="expression" priority="65" id="{00030082-00AE-4DA3-8F35-0032005E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H115</xm:sqref>
        </x14:conditionalFormatting>
        <x14:conditionalFormatting xmlns:xm="http://schemas.microsoft.com/office/excel/2006/main">
          <x14:cfRule type="expression" priority="66" id="{00A6002B-004C-4839-AC63-00D20030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H130</xm:sqref>
        </x14:conditionalFormatting>
        <x14:conditionalFormatting xmlns:xm="http://schemas.microsoft.com/office/excel/2006/main">
          <x14:cfRule type="expression" priority="86" id="{007F0080-0094-4B36-86B1-005200A8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H187</xm:sqref>
        </x14:conditionalFormatting>
        <x14:conditionalFormatting xmlns:xm="http://schemas.microsoft.com/office/excel/2006/main">
          <x14:cfRule type="expression" priority="103" id="{002D004F-0008-4709-AA23-000A00A6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H196</xm:sqref>
        </x14:conditionalFormatting>
        <x14:conditionalFormatting xmlns:xm="http://schemas.microsoft.com/office/excel/2006/main">
          <x14:cfRule type="expression" priority="68" id="{004E000D-0077-4030-BF59-00F50082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H199</xm:sqref>
        </x14:conditionalFormatting>
        <x14:conditionalFormatting xmlns:xm="http://schemas.microsoft.com/office/excel/2006/main">
          <x14:cfRule type="expression" priority="69" id="{00060086-0077-432B-B790-004C00DF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H219</xm:sqref>
        </x14:conditionalFormatting>
        <x14:conditionalFormatting xmlns:xm="http://schemas.microsoft.com/office/excel/2006/main">
          <x14:cfRule type="expression" priority="31" id="{00D200D5-00F2-496D-BA46-007100D8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H2:I13 H14 H15:I34 H35 I185 H186:I238 H37:I184</xm:sqref>
        </x14:conditionalFormatting>
        <x14:conditionalFormatting xmlns:xm="http://schemas.microsoft.com/office/excel/2006/main">
          <x14:cfRule type="expression" priority="55" id="{004D00CF-006F-46E7-8B3E-002000DF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H14:I14</xm:sqref>
        </x14:conditionalFormatting>
        <x14:conditionalFormatting xmlns:xm="http://schemas.microsoft.com/office/excel/2006/main">
          <x14:cfRule type="expression" priority="138" id="{00E30070-0064-443B-BE79-005700C4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H56:I56</xm:sqref>
        </x14:conditionalFormatting>
        <x14:conditionalFormatting xmlns:xm="http://schemas.microsoft.com/office/excel/2006/main">
          <x14:cfRule type="expression" priority="140" id="{00520075-004A-4833-9224-00C300BC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H59:I59</xm:sqref>
        </x14:conditionalFormatting>
        <x14:conditionalFormatting xmlns:xm="http://schemas.microsoft.com/office/excel/2006/main">
          <x14:cfRule type="expression" priority="149" id="{00710061-007D-41D9-A2E9-00A800E7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H63:I63</xm:sqref>
        </x14:conditionalFormatting>
        <x14:conditionalFormatting xmlns:xm="http://schemas.microsoft.com/office/excel/2006/main">
          <x14:cfRule type="expression" priority="128" id="{00E20090-00E2-4AF1-BC40-00130081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H65:I65</xm:sqref>
        </x14:conditionalFormatting>
        <x14:conditionalFormatting xmlns:xm="http://schemas.microsoft.com/office/excel/2006/main">
          <x14:cfRule type="expression" priority="61" id="{008F00C4-0074-484B-9A7A-000400E700A6}">
            <xm:f>MOD($O15,2)=0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I15:I19</xm:sqref>
        </x14:conditionalFormatting>
        <x14:conditionalFormatting xmlns:xm="http://schemas.microsoft.com/office/excel/2006/main">
          <x14:cfRule type="expression" priority="40" id="{00F400B6-0073-46D2-B8DE-00FE0088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I20:I34 I61:I64 I66 I69:I71 I75:I79 I115:I117 I130:I137 I153:I158 I199:I203 I226:I229</xm:sqref>
        </x14:conditionalFormatting>
        <x14:conditionalFormatting xmlns:xm="http://schemas.microsoft.com/office/excel/2006/main">
          <x14:cfRule type="expression" priority="62" id="{003700A5-00E5-46DB-9B9B-0084005E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95" id="{0040003A-000A-4A9A-94A7-007A00B8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I46</xm:sqref>
        </x14:conditionalFormatting>
        <x14:conditionalFormatting xmlns:xm="http://schemas.microsoft.com/office/excel/2006/main">
          <x14:cfRule type="expression" priority="170" id="{00E400CC-00E6-46B3-8E78-0021003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I52</xm:sqref>
        </x14:conditionalFormatting>
        <x14:conditionalFormatting xmlns:xm="http://schemas.microsoft.com/office/excel/2006/main">
          <x14:cfRule type="expression" priority="158" id="{00980034-00FD-4D3E-8173-004700CA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I55</xm:sqref>
        </x14:conditionalFormatting>
        <x14:conditionalFormatting xmlns:xm="http://schemas.microsoft.com/office/excel/2006/main">
          <x14:cfRule type="expression" priority="160" id="{0005006D-0071-4E9E-BB8E-00CC00B8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I57</xm:sqref>
        </x14:conditionalFormatting>
        <x14:conditionalFormatting xmlns:xm="http://schemas.microsoft.com/office/excel/2006/main">
          <x14:cfRule type="expression" priority="162" id="{00E40003-0097-46F2-A84A-005D00E7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I62</xm:sqref>
        </x14:conditionalFormatting>
        <x14:conditionalFormatting xmlns:xm="http://schemas.microsoft.com/office/excel/2006/main">
          <x14:cfRule type="expression" priority="164" id="{0078006E-00EE-440A-8DB4-00210024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I64</xm:sqref>
        </x14:conditionalFormatting>
        <x14:conditionalFormatting xmlns:xm="http://schemas.microsoft.com/office/excel/2006/main">
          <x14:cfRule type="expression" priority="166" id="{000E008F-00ED-4AB3-B408-00B800B5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I66</xm:sqref>
        </x14:conditionalFormatting>
        <x14:conditionalFormatting xmlns:xm="http://schemas.microsoft.com/office/excel/2006/main">
          <x14:cfRule type="expression" priority="184" id="{00F50048-00B2-41CC-AF0B-0045005B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I68</xm:sqref>
        </x14:conditionalFormatting>
        <x14:conditionalFormatting xmlns:xm="http://schemas.microsoft.com/office/excel/2006/main">
          <x14:cfRule type="expression" priority="168" id="{00130070-00BB-443D-9A3F-00B800A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I69</xm:sqref>
        </x14:conditionalFormatting>
        <x14:conditionalFormatting xmlns:xm="http://schemas.microsoft.com/office/excel/2006/main">
          <x14:cfRule type="expression" priority="182" id="{00380062-000B-497F-B345-009D009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I73</xm:sqref>
        </x14:conditionalFormatting>
        <x14:conditionalFormatting xmlns:xm="http://schemas.microsoft.com/office/excel/2006/main">
          <x14:cfRule type="expression" priority="71" id="{00AD0082-00BD-4408-97AC-002E001B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I80:I103</xm:sqref>
        </x14:conditionalFormatting>
        <x14:conditionalFormatting xmlns:xm="http://schemas.microsoft.com/office/excel/2006/main">
          <x14:cfRule type="expression" priority="136" id="{001400D9-0039-4C7A-B4EA-00F100C7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I104</xm:sqref>
        </x14:conditionalFormatting>
        <x14:conditionalFormatting xmlns:xm="http://schemas.microsoft.com/office/excel/2006/main">
          <x14:cfRule type="expression" priority="74" id="{002C002F-0010-444C-AB5D-00A0009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I143</xm:sqref>
        </x14:conditionalFormatting>
        <x14:conditionalFormatting xmlns:xm="http://schemas.microsoft.com/office/excel/2006/main">
          <x14:cfRule type="expression" priority="78" id="{00990059-0078-4DD8-9381-001600CD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I187:I195</xm:sqref>
        </x14:conditionalFormatting>
        <x14:conditionalFormatting xmlns:xm="http://schemas.microsoft.com/office/excel/2006/main">
          <x14:cfRule type="expression" priority="79" id="{005D0049-0090-4445-828F-000D0087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I196:I198</xm:sqref>
        </x14:conditionalFormatting>
        <x14:conditionalFormatting xmlns:xm="http://schemas.microsoft.com/office/excel/2006/main">
          <x14:cfRule type="expression" priority="84" id="{005200E5-001B-4F73-9F27-0042003A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I238</xm:sqref>
        </x14:conditionalFormatting>
        <x14:conditionalFormatting xmlns:xm="http://schemas.microsoft.com/office/excel/2006/main">
          <x14:cfRule type="expression" priority="28" id="{00370025-009E-4995-B4BD-006E0085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K230:L230</xm:sqref>
        </x14:conditionalFormatting>
        <x14:conditionalFormatting xmlns:xm="http://schemas.microsoft.com/office/excel/2006/main">
          <x14:cfRule type="expression" priority="19" id="{004700DD-00B1-46B4-BD24-0058003B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Q20:Q34 Q61:Q64 Q66 Q69:Q71 Q75:Q79 Q115:Q117 Q130:Q137 Q153:Q158 Q199:Q203 Q226:Q229</xm:sqref>
        </x14:conditionalFormatting>
        <x14:conditionalFormatting xmlns:xm="http://schemas.microsoft.com/office/excel/2006/main">
          <x14:cfRule type="expression" priority="18" id="{00D200DB-002C-457A-872B-00E300EA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Q25</xm:sqref>
        </x14:conditionalFormatting>
        <x14:conditionalFormatting xmlns:xm="http://schemas.microsoft.com/office/excel/2006/main">
          <x14:cfRule type="expression" priority="20" id="{00E5002C-0089-4338-9B72-00A3001D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Q30</xm:sqref>
        </x14:conditionalFormatting>
        <x14:conditionalFormatting xmlns:xm="http://schemas.microsoft.com/office/excel/2006/main">
          <x14:cfRule type="expression" priority="23" id="{00A300DB-0004-4038-9D32-00DF009A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Q44</xm:sqref>
        </x14:conditionalFormatting>
        <x14:conditionalFormatting xmlns:xm="http://schemas.microsoft.com/office/excel/2006/main">
          <x14:cfRule type="expression" priority="17" id="{001C003B-00C4-47E4-B2AC-00E70033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Q46</xm:sqref>
        </x14:conditionalFormatting>
        <x14:conditionalFormatting xmlns:xm="http://schemas.microsoft.com/office/excel/2006/main">
          <x14:cfRule type="expression" priority="24" id="{00B000FB-0075-4E4A-BD6D-009A001E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Q55</xm:sqref>
        </x14:conditionalFormatting>
        <x14:conditionalFormatting xmlns:xm="http://schemas.microsoft.com/office/excel/2006/main">
          <x14:cfRule type="expression" priority="26" id="{003600B0-00B6-4427-8503-008A009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Q59</xm:sqref>
        </x14:conditionalFormatting>
        <x14:conditionalFormatting xmlns:xm="http://schemas.microsoft.com/office/excel/2006/main">
          <x14:cfRule type="expression" priority="25" id="{00D3002C-00B5-4793-A4C1-00DA008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Q66</xm:sqref>
        </x14:conditionalFormatting>
        <x14:conditionalFormatting xmlns:xm="http://schemas.microsoft.com/office/excel/2006/main">
          <x14:cfRule type="expression" priority="27" id="{008600E8-0003-47D7-BC11-00C70013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Q73</xm:sqref>
        </x14:conditionalFormatting>
        <x14:conditionalFormatting xmlns:xm="http://schemas.microsoft.com/office/excel/2006/main">
          <x14:cfRule type="expression" priority="21" id="{0089001C-00AA-44F7-AC55-00AF0082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Q149</xm:sqref>
        </x14:conditionalFormatting>
        <x14:conditionalFormatting xmlns:xm="http://schemas.microsoft.com/office/excel/2006/main">
          <x14:cfRule type="expression" priority="13" id="{00AD00A6-0004-435C-B0C8-005400A6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Q164</xm:sqref>
        </x14:conditionalFormatting>
        <x14:conditionalFormatting xmlns:xm="http://schemas.microsoft.com/office/excel/2006/main">
          <x14:cfRule type="expression" priority="14" id="{001D00FA-0062-4735-A40E-00360080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Q205</xm:sqref>
        </x14:conditionalFormatting>
        <x14:conditionalFormatting xmlns:xm="http://schemas.microsoft.com/office/excel/2006/main">
          <x14:cfRule type="expression" priority="15" id="{00E600D3-00D1-4AC4-938A-00E900C1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Q208</xm:sqref>
        </x14:conditionalFormatting>
        <x14:conditionalFormatting xmlns:xm="http://schemas.microsoft.com/office/excel/2006/main">
          <x14:cfRule type="expression" priority="16" id="{007500D5-006E-4C2C-9649-0052008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Q210</xm:sqref>
        </x14:conditionalFormatting>
        <x14:conditionalFormatting xmlns:xm="http://schemas.microsoft.com/office/excel/2006/main">
          <x14:cfRule type="expression" priority="22" id="{00C0001E-008B-462D-BF8B-00E50029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Q231</xm:sqref>
        </x14:conditionalFormatting>
        <x14:conditionalFormatting xmlns:xm="http://schemas.microsoft.com/office/excel/2006/main">
          <x14:cfRule type="expression" priority="1" id="{002D005D-00E0-40B7-AE07-00E60054000B}">
            <xm:f>MOD($O1,2)=0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F37:H37</xm:sqref>
        </x14:conditionalFormatting>
        <x14:conditionalFormatting xmlns:xm="http://schemas.microsoft.com/office/excel/2006/main">
          <x14:cfRule type="expression" priority="2" id="{006B004C-004E-4517-A8E3-007A0046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220072-008C-470D-BFAA-00B7009E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L199</xm:sqref>
        </x14:conditionalFormatting>
        <x14:conditionalFormatting xmlns:xm="http://schemas.microsoft.com/office/excel/2006/main">
          <x14:cfRule type="expression" priority="2" id="{00ED00A2-00B2-49E2-9756-00930057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L205</xm:sqref>
        </x14:conditionalFormatting>
        <x14:conditionalFormatting xmlns:xm="http://schemas.microsoft.com/office/excel/2006/main">
          <x14:cfRule type="expression" priority="2" id="{000B00EA-008A-4569-9ED4-002D0088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L219</xm:sqref>
        </x14:conditionalFormatting>
        <x14:conditionalFormatting xmlns:xm="http://schemas.microsoft.com/office/excel/2006/main">
          <x14:cfRule type="expression" priority="2" id="{00830053-00BE-42B3-A24F-00710065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L226</xm:sqref>
        </x14:conditionalFormatting>
        <x14:conditionalFormatting xmlns:xm="http://schemas.microsoft.com/office/excel/2006/main">
          <x14:cfRule type="expression" priority="2" id="{004B008B-00F2-4D96-859B-0080000A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L192:L235</xm:sqref>
        </x14:conditionalFormatting>
        <x14:conditionalFormatting xmlns:xm="http://schemas.microsoft.com/office/excel/2006/main">
          <x14:cfRule type="expression" priority="28" id="{00D70018-00CF-49D1-A23A-002D001F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L230</xm:sqref>
        </x14:conditionalFormatting>
        <x14:conditionalFormatting xmlns:xm="http://schemas.microsoft.com/office/excel/2006/main">
          <x14:cfRule type="expression" priority="2" id="{009F00CB-007F-46CF-A26D-00950045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L199</xm:sqref>
        </x14:conditionalFormatting>
        <x14:conditionalFormatting xmlns:xm="http://schemas.microsoft.com/office/excel/2006/main">
          <x14:cfRule type="expression" priority="2" id="{0057001B-00DA-4CFB-99A7-0087003D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L205</xm:sqref>
        </x14:conditionalFormatting>
        <x14:conditionalFormatting xmlns:xm="http://schemas.microsoft.com/office/excel/2006/main">
          <x14:cfRule type="expression" priority="2" id="{00D700C5-004C-438E-AF63-00C1009B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L219</xm:sqref>
        </x14:conditionalFormatting>
        <x14:conditionalFormatting xmlns:xm="http://schemas.microsoft.com/office/excel/2006/main">
          <x14:cfRule type="expression" priority="2" id="{00180014-001B-45C1-AF79-000300F2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L226</xm:sqref>
        </x14:conditionalFormatting>
        <x14:conditionalFormatting xmlns:xm="http://schemas.microsoft.com/office/excel/2006/main">
          <x14:cfRule type="expression" priority="2" id="{000D00D0-00A4-4628-A03D-00D900A9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150034-00BF-4B31-BCD1-00A40057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AD00C0-0054-4741-9D36-008F00F5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D36</xm:sqref>
        </x14:conditionalFormatting>
        <x14:conditionalFormatting xmlns:xm="http://schemas.microsoft.com/office/excel/2006/main">
          <x14:cfRule type="expression" priority="209" id="{0040001F-00FD-48DF-B309-00E900C3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</xm:sqref>
        </x14:conditionalFormatting>
        <x14:conditionalFormatting xmlns:xm="http://schemas.microsoft.com/office/excel/2006/main">
          <x14:cfRule type="expression" priority="2" id="{007E00DC-0040-4B9D-BFE7-007000F8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</xm:sqref>
        </x14:conditionalFormatting>
        <x14:conditionalFormatting xmlns:xm="http://schemas.microsoft.com/office/excel/2006/main">
          <x14:cfRule type="expression" priority="2" id="{009B00DD-008F-4140-939C-005B0080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 P36</xm:sqref>
        </x14:conditionalFormatting>
        <x14:conditionalFormatting xmlns:xm="http://schemas.microsoft.com/office/excel/2006/main">
          <x14:cfRule type="expression" priority="315" id="{00060072-0044-41C0-9BF6-0084006C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318" id="{00000027-002D-4D59-AC75-000D005C0008}">
            <xm:f>MOD($O26,2)=0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F36:G36</xm:sqref>
        </x14:conditionalFormatting>
        <x14:conditionalFormatting xmlns:xm="http://schemas.microsoft.com/office/excel/2006/main">
          <x14:cfRule type="expression" priority="31" id="{006F0041-00AB-46D8-AFEA-00CF0097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H36:I36</xm:sqref>
        </x14:conditionalFormatting>
        <x14:conditionalFormatting xmlns:xm="http://schemas.microsoft.com/office/excel/2006/main">
          <x14:cfRule type="expression" priority="40" id="{00AF0006-0015-432B-928D-0038009C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expression" priority="2" id="{00D70049-00E7-4ECF-BD05-0074008A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A9009C-00E5-4683-9FF7-00BE0056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4200C4-00AC-4216-94AE-006B006B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930022-00B4-4511-AE25-00AD00FC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C100E4-001F-407E-AA4D-00D60097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0400A2-00FA-4F87-A999-005D00A2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0200BE-001C-46BA-B226-0058000D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5E00BD-0098-4C1F-891A-0076006B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28006E-0050-4DB2-90B2-006B009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2B007E-00C3-4DC6-B218-002100CC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0B008D-0065-42F3-B22D-00A700D6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CB004E-00F3-4B9B-8EEA-00350003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FC0061-00E7-400A-9F76-007800BA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1500A4-00F4-4945-8791-00760082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8200C9-002D-42B1-87D9-00A0004C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780096-00C1-4BF2-AD60-007300FF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A90082-0012-4EF6-A558-00B1000F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B800EF-00C6-4AED-B01E-002200F8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EC0046-003F-4ABC-9215-0076008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F600A9-004E-497B-8179-00B700B9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0100FC-00FE-496D-AC19-007C005A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F7009B-00CA-45E4-BDEC-00DB001E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8F0001-0001-4551-8C7B-00BB0011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63002C-0069-4A06-95B5-00C000B8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9D0032-00B2-4DA6-9B15-00B600A8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3000AC-001C-4ED7-9825-0080000D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23000E-0046-4E68-9B8B-00450067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FA0068-0086-4B37-B9EF-005900CE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A20072-005D-4CD1-84F1-002B001F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3C0071-0003-460E-B572-005700F2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FA00F6-00C8-41FC-9287-00BA00B6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0400C8-0068-42D5-BCD2-00FF004F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BA00FA-004B-4D50-A0E6-00D900F3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BE0088-006C-4454-BED8-00FB0051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A10018-0087-420B-A5CC-0091004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0700B0-0037-4480-9CFD-006F0018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110034-005A-46D4-8465-005F0089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BD00BE-00E5-409B-A2CC-005D002F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AD00D4-00F3-4BD6-B956-00DB004F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A40092-0009-467A-9216-00590043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F70077-0052-414C-86C6-001E00F2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" id="{00E200D9-00B6-40BA-A8F4-00F700D5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" id="{00B30089-00EA-4FA8-902B-001500B4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" id="{007D004C-00D1-45EB-BB4C-003F00E2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09" id="{003F0007-005A-4DBD-9C62-00E3006B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J35</xm:sqref>
        </x14:conditionalFormatting>
        <x14:conditionalFormatting xmlns:xm="http://schemas.microsoft.com/office/excel/2006/main">
          <x14:cfRule type="expression" priority="30" id="{00BA00CC-0035-42B4-B6D7-005B00FE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J106</xm:sqref>
        </x14:conditionalFormatting>
        <x14:conditionalFormatting xmlns:xm="http://schemas.microsoft.com/office/excel/2006/main">
          <x14:cfRule type="expression" priority="2" id="{00F90045-001F-4BCC-9BAB-009600E2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J2:J238</xm:sqref>
        </x14:conditionalFormatting>
        <x14:conditionalFormatting xmlns:xm="http://schemas.microsoft.com/office/excel/2006/main">
          <x14:cfRule type="expression" priority="6724" id="{00190069-00EE-4F55-B7B0-00A10084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J147</xm:sqref>
        </x14:conditionalFormatting>
        <x14:conditionalFormatting xmlns:xm="http://schemas.microsoft.com/office/excel/2006/main">
          <x14:cfRule type="expression" priority="6720" id="{00D60055-002F-4EA6-BFBF-0028004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J148</xm:sqref>
        </x14:conditionalFormatting>
        <x14:conditionalFormatting xmlns:xm="http://schemas.microsoft.com/office/excel/2006/main">
          <x14:cfRule type="expression" priority="28" id="{00CF009C-008C-43E6-8366-00C000B1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J230</xm:sqref>
        </x14:conditionalFormatting>
        <x14:conditionalFormatting xmlns:xm="http://schemas.microsoft.com/office/excel/2006/main">
          <x14:cfRule type="expression" priority="2" id="{00520034-00A6-4851-AA25-00610032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1C0098-00A7-46C3-B0E6-003E00D5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1E0070-0088-47F0-8E03-003300C1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2B00EF-009D-41BC-9375-00010030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J36</xm:sqref>
        </x14:conditionalFormatting>
        <x14:conditionalFormatting xmlns:xm="http://schemas.microsoft.com/office/excel/2006/main">
          <x14:cfRule type="expression" priority="2" id="{00200074-0099-41F6-B802-00650050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4D004F-0038-485A-9DE5-009F00B2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440008-0057-470A-8FF9-00E7008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76006F-0052-4EA6-88B5-00630009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DD00B8-000C-416E-B05D-009800D4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890066-005E-4A90-B1A7-000F0058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2C002F-007A-43A5-949C-0072004D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8700A0-00DF-4FE5-B8FA-00700092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0300FF-00D8-4644-B0B4-00200038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4D0049-0081-486D-8F44-001B000E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BA00A0-0067-4736-87FF-003800BC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A40066-0084-46F0-B9F0-00E40011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8F0004-00C5-485F-87CF-00C60086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70008E-0099-42A1-ADE6-00500020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280046-0085-4F2E-88C0-00E400C7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6B002B-006E-4DAE-B8C2-0007002A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8B00E3-0071-48B7-85D8-006D00F1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2200A3-005A-46CC-A87A-00CC0033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A30078-00F4-4F0D-A757-00AE0088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E20038-0054-49EE-B8D0-0029008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A80088-0019-4616-9AFA-003600A5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D0003A-007E-47AE-A329-00DB0054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FA00B6-0098-4ADC-85FD-002000E8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7A00E9-00FF-4634-B6F1-00C700E0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840062-00FF-4438-B265-0077001F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C200D2-00D7-4CBC-960E-009C003D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A30096-008C-448A-9DC5-00D600F2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00001B-0092-465C-BDC7-00A9005D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E6006D-001D-4292-AA2A-00BB009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A000D9-00BA-44E1-87AF-00E8000A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A800D9-00D3-4F3C-914A-003C00A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C7008D-0065-4515-9A6A-0049008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C10070-001E-4E66-A52A-00B00048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BE00A9-00B1-4212-95F5-00D80058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E90045-00CE-4CB9-998F-00F500E6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EC002E-0004-46F4-834B-0076008F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240073-00E7-4EFC-AC66-007600DE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5E0010-00D7-49FD-BABA-002D004B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25005F-0040-42D4-A15B-00FB0005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2600AF-00BA-44DA-B9B5-008C00D6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4C00BA-004C-440D-A2A1-00D90026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</xm:sqref>
        </x14:conditionalFormatting>
        <x14:conditionalFormatting xmlns:xm="http://schemas.microsoft.com/office/excel/2006/main">
          <x14:cfRule type="expression" priority="2" id="{007B00F3-00AF-42BE-AC3E-009E00E7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</xm:sqref>
        </x14:conditionalFormatting>
        <x14:conditionalFormatting xmlns:xm="http://schemas.microsoft.com/office/excel/2006/main">
          <x14:cfRule type="expression" priority="2" id="{00FE00AE-0051-4C2E-A5EF-00F100EE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J12</xm:sqref>
        </x14:conditionalFormatting>
        <x14:conditionalFormatting xmlns:xm="http://schemas.microsoft.com/office/excel/2006/main">
          <x14:cfRule type="expression" priority="2" id="{008E0027-0071-46F5-800F-00C1003A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J12</xm:sqref>
        </x14:conditionalFormatting>
        <x14:conditionalFormatting xmlns:xm="http://schemas.microsoft.com/office/excel/2006/main">
          <x14:cfRule type="expression" priority="2" id="{00E500F0-00DD-4A4D-B191-00230000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J25</xm:sqref>
        </x14:conditionalFormatting>
        <x14:conditionalFormatting xmlns:xm="http://schemas.microsoft.com/office/excel/2006/main">
          <x14:cfRule type="expression" priority="2" id="{00F200FF-006D-413E-9641-007A008F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J28</xm:sqref>
        </x14:conditionalFormatting>
        <x14:conditionalFormatting xmlns:xm="http://schemas.microsoft.com/office/excel/2006/main">
          <x14:cfRule type="expression" priority="2" id="{00680087-0029-4641-8BA2-007B00F0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J29</xm:sqref>
        </x14:conditionalFormatting>
        <x14:conditionalFormatting xmlns:xm="http://schemas.microsoft.com/office/excel/2006/main">
          <x14:cfRule type="expression" priority="2" id="{005100E6-0091-46BA-A1F6-00690049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</xm:sqref>
        </x14:conditionalFormatting>
        <x14:conditionalFormatting xmlns:xm="http://schemas.microsoft.com/office/excel/2006/main">
          <x14:cfRule type="expression" priority="2" id="{00AC00C3-00E5-49E7-B1CC-00F5000A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</xm:sqref>
        </x14:conditionalFormatting>
        <x14:conditionalFormatting xmlns:xm="http://schemas.microsoft.com/office/excel/2006/main">
          <x14:cfRule type="expression" priority="2" id="{000500A5-002F-47AA-B4E6-0030003D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J23</xm:sqref>
        </x14:conditionalFormatting>
        <x14:conditionalFormatting xmlns:xm="http://schemas.microsoft.com/office/excel/2006/main">
          <x14:cfRule type="expression" priority="2" id="{00AC00C9-0016-4B49-999D-008F0020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J30</xm:sqref>
        </x14:conditionalFormatting>
        <x14:conditionalFormatting xmlns:xm="http://schemas.microsoft.com/office/excel/2006/main">
          <x14:cfRule type="expression" priority="2" id="{0055006A-00EB-40C4-A8B9-00050033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J31</xm:sqref>
        </x14:conditionalFormatting>
        <x14:conditionalFormatting xmlns:xm="http://schemas.microsoft.com/office/excel/2006/main">
          <x14:cfRule type="expression" priority="2" id="{00B90089-00F7-4445-8FF7-0034005F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J32</xm:sqref>
        </x14:conditionalFormatting>
        <x14:conditionalFormatting xmlns:xm="http://schemas.microsoft.com/office/excel/2006/main">
          <x14:cfRule type="expression" priority="2" id="{000800E5-0011-45E8-BB1C-006C00B9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</xm:sqref>
        </x14:conditionalFormatting>
        <x14:conditionalFormatting xmlns:xm="http://schemas.microsoft.com/office/excel/2006/main">
          <x14:cfRule type="expression" priority="2" id="{00EA0026-0032-4B8A-8B37-00690074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</xm:sqref>
        </x14:conditionalFormatting>
        <x14:conditionalFormatting xmlns:xm="http://schemas.microsoft.com/office/excel/2006/main">
          <x14:cfRule type="expression" priority="2" id="{000C007F-006E-4217-9524-0003002B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J5</xm:sqref>
        </x14:conditionalFormatting>
        <x14:conditionalFormatting xmlns:xm="http://schemas.microsoft.com/office/excel/2006/main">
          <x14:cfRule type="expression" priority="2" id="{00DF00CC-0073-45AA-BA41-00E900B3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J5</xm:sqref>
        </x14:conditionalFormatting>
        <x14:conditionalFormatting xmlns:xm="http://schemas.microsoft.com/office/excel/2006/main">
          <x14:cfRule type="expression" priority="2" id="{007A001D-00A4-4149-8A80-00BF0038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</xm:sqref>
        </x14:conditionalFormatting>
        <x14:conditionalFormatting xmlns:xm="http://schemas.microsoft.com/office/excel/2006/main">
          <x14:cfRule type="expression" priority="2" id="{001E008C-001A-4FB8-A4EA-00F40086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</xm:sqref>
        </x14:conditionalFormatting>
        <x14:conditionalFormatting xmlns:xm="http://schemas.microsoft.com/office/excel/2006/main">
          <x14:cfRule type="expression" priority="1" id="{00CB0069-00C6-48FE-9046-0047009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D239</xm:sqref>
        </x14:conditionalFormatting>
        <x14:conditionalFormatting xmlns:xm="http://schemas.microsoft.com/office/excel/2006/main">
          <x14:cfRule type="expression" priority="1" id="{00F20003-00AA-46C6-B1D7-00DE0053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D240:D243</xm:sqref>
        </x14:conditionalFormatting>
        <x14:conditionalFormatting xmlns:xm="http://schemas.microsoft.com/office/excel/2006/main">
          <x14:cfRule type="expression" priority="2" id="{007E00A5-0024-4C66-8AD2-000700C2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K16 P16</xm:sqref>
        </x14:conditionalFormatting>
        <x14:conditionalFormatting xmlns:xm="http://schemas.microsoft.com/office/excel/2006/main">
          <x14:cfRule type="expression" priority="2" id="{00F90081-00AD-4DB3-8BE5-00210099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J16</xm:sqref>
        </x14:conditionalFormatting>
        <x14:conditionalFormatting xmlns:xm="http://schemas.microsoft.com/office/excel/2006/main">
          <x14:cfRule type="expression" priority="2" id="{00080007-00C0-438F-B66C-005600C8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A16</xm:sqref>
        </x14:conditionalFormatting>
        <x14:conditionalFormatting xmlns:xm="http://schemas.microsoft.com/office/excel/2006/main">
          <x14:cfRule type="expression" priority="2" id="{007100CB-0030-428F-B6C8-002C00E5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A175</xm:sqref>
        </x14:conditionalFormatting>
        <x14:conditionalFormatting xmlns:xm="http://schemas.microsoft.com/office/excel/2006/main">
          <x14:cfRule type="expression" priority="2" id="{00A200D7-0041-47F7-B207-009C00D3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K175 P175</xm:sqref>
        </x14:conditionalFormatting>
        <x14:conditionalFormatting xmlns:xm="http://schemas.microsoft.com/office/excel/2006/main">
          <x14:cfRule type="expression" priority="2" id="{00E30087-0086-40A6-A68C-000500F8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J175</xm:sqref>
        </x14:conditionalFormatting>
        <x14:conditionalFormatting xmlns:xm="http://schemas.microsoft.com/office/excel/2006/main">
          <x14:cfRule type="expression" priority="2" id="{00B000E6-0026-429D-9AA3-001F00DD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K203:L203 P203</xm:sqref>
        </x14:conditionalFormatting>
        <x14:conditionalFormatting xmlns:xm="http://schemas.microsoft.com/office/excel/2006/main">
          <x14:cfRule type="expression" priority="2" id="{0035000B-0055-4842-8C7A-00890012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L203</xm:sqref>
        </x14:conditionalFormatting>
        <x14:conditionalFormatting xmlns:xm="http://schemas.microsoft.com/office/excel/2006/main">
          <x14:cfRule type="expression" priority="2" id="{00C200C1-0065-42E8-978B-008E00A7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J203</xm:sqref>
        </x14:conditionalFormatting>
        <x14:conditionalFormatting xmlns:xm="http://schemas.microsoft.com/office/excel/2006/main">
          <x14:cfRule type="expression" priority="2" id="{009B00E7-00D6-444C-B867-004F00C6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K204:L204 P204</xm:sqref>
        </x14:conditionalFormatting>
        <x14:conditionalFormatting xmlns:xm="http://schemas.microsoft.com/office/excel/2006/main">
          <x14:cfRule type="expression" priority="2" id="{00370002-005E-422C-B5F4-00780006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L204</xm:sqref>
        </x14:conditionalFormatting>
        <x14:conditionalFormatting xmlns:xm="http://schemas.microsoft.com/office/excel/2006/main">
          <x14:cfRule type="expression" priority="2" id="{000800E8-00DC-4EE0-AFC2-00D1008B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L204</xm:sqref>
        </x14:conditionalFormatting>
        <x14:conditionalFormatting xmlns:xm="http://schemas.microsoft.com/office/excel/2006/main">
          <x14:cfRule type="expression" priority="2" id="{003A002D-00E9-4ADC-88B6-00280076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L204</xm:sqref>
        </x14:conditionalFormatting>
        <x14:conditionalFormatting xmlns:xm="http://schemas.microsoft.com/office/excel/2006/main">
          <x14:cfRule type="expression" priority="2" id="{00070097-0025-4E53-8EC4-003E007D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DF0090-005B-436E-8A31-00590010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C100CF-007B-443E-8C16-00930061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910008-005A-41E1-BCD0-002D00F7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970032-0025-416B-882E-008D0046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CD0083-0080-43E6-9D4C-00F0008B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8300E1-0063-4491-A2E5-00940016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4000CD-0059-4768-85A3-0051000E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B400A2-009D-4B7F-890B-006B005A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F400DC-00DB-4A12-A70B-00580092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A203</xm:sqref>
        </x14:conditionalFormatting>
        <x14:conditionalFormatting xmlns:xm="http://schemas.microsoft.com/office/excel/2006/main">
          <x14:cfRule type="expression" priority="2" id="{002F0006-00F4-4ED4-8657-00130070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K216:L216 P216</xm:sqref>
        </x14:conditionalFormatting>
        <x14:conditionalFormatting xmlns:xm="http://schemas.microsoft.com/office/excel/2006/main">
          <x14:cfRule type="expression" priority="2" id="{005000AB-0038-44B1-A7DD-006B0057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L216</xm:sqref>
        </x14:conditionalFormatting>
        <x14:conditionalFormatting xmlns:xm="http://schemas.microsoft.com/office/excel/2006/main">
          <x14:cfRule type="expression" priority="2" id="{00DC00C6-00FE-43B3-8C81-005B0016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J216</xm:sqref>
        </x14:conditionalFormatting>
        <x14:conditionalFormatting xmlns:xm="http://schemas.microsoft.com/office/excel/2006/main">
          <x14:cfRule type="expression" priority="2" id="{00EA0097-00C8-4FF9-9F9E-00EC001E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A216</xm:sqref>
        </x14:conditionalFormatting>
        <x14:conditionalFormatting xmlns:xm="http://schemas.microsoft.com/office/excel/2006/main">
          <x14:cfRule type="expression" priority="2" id="{00A1003C-0073-459F-9334-006D00A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7100CC-00B7-42DF-ABA8-000C00A7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B6005D-004A-4625-BE8D-00830027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4B004C-00F0-4712-AAC5-00590049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F700DB-0094-492C-B16B-005800B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6C008B-003E-419F-9EFB-007200E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C10041-004B-4C59-B864-00ED000F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2500F1-0070-4A8A-8EB6-0023009A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18004D-0039-45DD-9861-005E0049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64002C-00BE-4BFE-9911-003200BF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F900E7-0031-4465-9EBE-00EF001A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A4007B-0091-4C7B-8382-00A0000B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3400D1-0047-4313-BF6C-00FA00D9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8E0069-0020-43C1-BF05-00F4000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550099-009C-4189-BED9-00B40058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A500C6-0026-4DCA-94F7-00AB0039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0F0046-002F-4808-BF77-005E00C1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2" id="{00950082-007D-4F5B-A281-0014003A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2" id="{007A00B4-00CE-4DD3-9AE8-0035003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L236</xm:sqref>
        </x14:conditionalFormatting>
        <x14:conditionalFormatting xmlns:xm="http://schemas.microsoft.com/office/excel/2006/main">
          <x14:cfRule type="expression" priority="2" id="{00850077-0062-4985-AE9D-009C005F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L236</xm:sqref>
        </x14:conditionalFormatting>
        <x14:conditionalFormatting xmlns:xm="http://schemas.microsoft.com/office/excel/2006/main">
          <x14:cfRule type="expression" priority="2" id="{0036003B-00DE-4C04-B611-009700D50023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N198:N235 M236:N243</xm:sqref>
        </x14:conditionalFormatting>
        <x14:conditionalFormatting xmlns:xm="http://schemas.microsoft.com/office/excel/2006/main">
          <x14:cfRule type="expression" priority="28" id="{00A30009-00AD-41CD-A230-002A00500018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N230</xm:sqref>
        </x14:conditionalFormatting>
        <x14:conditionalFormatting xmlns:xm="http://schemas.microsoft.com/office/excel/2006/main">
          <x14:cfRule type="expression" priority="2" id="{00130031-00B7-4A0C-9FE5-0003003E00E4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N199</xm:sqref>
        </x14:conditionalFormatting>
        <x14:conditionalFormatting xmlns:xm="http://schemas.microsoft.com/office/excel/2006/main">
          <x14:cfRule type="expression" priority="2" id="{00530021-005B-4E2F-A3E5-00E400CD0017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N205</xm:sqref>
        </x14:conditionalFormatting>
        <x14:conditionalFormatting xmlns:xm="http://schemas.microsoft.com/office/excel/2006/main">
          <x14:cfRule type="expression" priority="2" id="{00AF006B-00BA-4097-A80E-007F00B90030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N219</xm:sqref>
        </x14:conditionalFormatting>
        <x14:conditionalFormatting xmlns:xm="http://schemas.microsoft.com/office/excel/2006/main">
          <x14:cfRule type="expression" priority="2" id="{0026007B-002C-4442-A125-00230095000A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N226</xm:sqref>
        </x14:conditionalFormatting>
        <x14:conditionalFormatting xmlns:xm="http://schemas.microsoft.com/office/excel/2006/main">
          <x14:cfRule type="expression" priority="2" id="{004D0089-000E-4236-B16C-00DD007E006A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N198:N235</xm:sqref>
        </x14:conditionalFormatting>
        <x14:conditionalFormatting xmlns:xm="http://schemas.microsoft.com/office/excel/2006/main">
          <x14:cfRule type="expression" priority="28" id="{00F9005E-000B-4EC9-98C7-00E9006D00DB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N230</xm:sqref>
        </x14:conditionalFormatting>
        <x14:conditionalFormatting xmlns:xm="http://schemas.microsoft.com/office/excel/2006/main">
          <x14:cfRule type="expression" priority="2" id="{00A2000A-0099-4997-877F-002E00DD00C4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N199</xm:sqref>
        </x14:conditionalFormatting>
        <x14:conditionalFormatting xmlns:xm="http://schemas.microsoft.com/office/excel/2006/main">
          <x14:cfRule type="expression" priority="2" id="{00C30097-00F5-4B59-9875-007A002D002E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N205</xm:sqref>
        </x14:conditionalFormatting>
        <x14:conditionalFormatting xmlns:xm="http://schemas.microsoft.com/office/excel/2006/main">
          <x14:cfRule type="expression" priority="2" id="{005F00F7-00C2-4483-98D8-003900750074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N219</xm:sqref>
        </x14:conditionalFormatting>
        <x14:conditionalFormatting xmlns:xm="http://schemas.microsoft.com/office/excel/2006/main">
          <x14:cfRule type="expression" priority="2" id="{00AF00F2-00C8-44EB-90A3-006A00E00030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N226</xm:sqref>
        </x14:conditionalFormatting>
        <x14:conditionalFormatting xmlns:xm="http://schemas.microsoft.com/office/excel/2006/main">
          <x14:cfRule type="expression" priority="2" id="{00E800DE-0015-47B9-9768-000A002000A5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M242</xm:sqref>
        </x14:conditionalFormatting>
        <x14:conditionalFormatting xmlns:xm="http://schemas.microsoft.com/office/excel/2006/main">
          <x14:cfRule type="expression" priority="2" id="{00C2005F-00F0-4D4E-AD74-005900580042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M242</xm:sqref>
        </x14:conditionalFormatting>
        <x14:conditionalFormatting xmlns:xm="http://schemas.microsoft.com/office/excel/2006/main">
          <x14:cfRule type="expression" priority="2" id="{008B0048-0063-4F5B-B1CA-006C00990065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M242</xm:sqref>
        </x14:conditionalFormatting>
        <x14:conditionalFormatting xmlns:xm="http://schemas.microsoft.com/office/excel/2006/main">
          <x14:cfRule type="expression" priority="2" id="{001F00DE-0077-467A-BD57-008400B20043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M242</xm:sqref>
        </x14:conditionalFormatting>
        <x14:conditionalFormatting xmlns:xm="http://schemas.microsoft.com/office/excel/2006/main">
          <x14:cfRule type="expression" priority="2" id="{00400039-003A-4EFE-A63F-005B00E90097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N203</xm:sqref>
        </x14:conditionalFormatting>
        <x14:conditionalFormatting xmlns:xm="http://schemas.microsoft.com/office/excel/2006/main">
          <x14:cfRule type="expression" priority="2" id="{00E800A2-003C-4982-93B8-00DC00920092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N203</xm:sqref>
        </x14:conditionalFormatting>
        <x14:conditionalFormatting xmlns:xm="http://schemas.microsoft.com/office/excel/2006/main">
          <x14:cfRule type="expression" priority="2" id="{00B500BC-0019-4B71-B689-00D1000E00D5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N204</xm:sqref>
        </x14:conditionalFormatting>
        <x14:conditionalFormatting xmlns:xm="http://schemas.microsoft.com/office/excel/2006/main">
          <x14:cfRule type="expression" priority="2" id="{004F0064-00C2-4DB7-9CB8-00E4004000CB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N204</xm:sqref>
        </x14:conditionalFormatting>
        <x14:conditionalFormatting xmlns:xm="http://schemas.microsoft.com/office/excel/2006/main">
          <x14:cfRule type="expression" priority="2" id="{008C00EA-00D9-48F9-8973-00A000BF00AB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N204</xm:sqref>
        </x14:conditionalFormatting>
        <x14:conditionalFormatting xmlns:xm="http://schemas.microsoft.com/office/excel/2006/main">
          <x14:cfRule type="expression" priority="2" id="{00D700D5-000F-4502-AE9F-006C00C6006B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N204</xm:sqref>
        </x14:conditionalFormatting>
        <x14:conditionalFormatting xmlns:xm="http://schemas.microsoft.com/office/excel/2006/main">
          <x14:cfRule type="expression" priority="2" id="{008A0044-00C4-4DBF-824E-000800A6001D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N216</xm:sqref>
        </x14:conditionalFormatting>
        <x14:conditionalFormatting xmlns:xm="http://schemas.microsoft.com/office/excel/2006/main">
          <x14:cfRule type="expression" priority="2" id="{0096000B-0033-40EA-BA8E-00CF00280004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N216</xm:sqref>
        </x14:conditionalFormatting>
        <x14:conditionalFormatting xmlns:xm="http://schemas.microsoft.com/office/excel/2006/main">
          <x14:cfRule type="expression" priority="2" id="{00EF0078-0029-4F84-83A2-003F00AB00F3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N236</xm:sqref>
        </x14:conditionalFormatting>
        <x14:conditionalFormatting xmlns:xm="http://schemas.microsoft.com/office/excel/2006/main">
          <x14:cfRule type="expression" priority="2" id="{001100CA-00B2-49F4-A709-00DC00E500F0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N236</xm:sqref>
        </x14:conditionalFormatting>
        <x14:conditionalFormatting xmlns:xm="http://schemas.microsoft.com/office/excel/2006/main">
          <x14:cfRule type="expression" priority="2" id="{009A00A2-00E4-4196-8CD2-00A000D20058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98008D-0061-45A5-B679-00560072000C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E6007F-00FD-45F6-B924-008500CC000C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6600E8-00A2-4E0E-B79A-00D8005C00E2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7900A5-0021-4D6D-B6B5-007E00880074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6900D1-00FD-495D-8886-007000FB0093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3600A6-0079-4E53-A1E3-00FA005600CA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95004A-00F4-4821-AE24-000C007E00D5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7C0063-0045-4EE9-BFE0-00A000C8007D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9B0007-0086-4AD1-BC6C-00B500D40040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500065-0001-407A-8BE2-005B000100DC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E30036-007D-4D66-A166-003300720080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5C00AC-0031-401B-98B8-00CD00D60046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C30072-0000-4EE7-803F-00F900610005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4F00CC-0058-42CF-91BC-00F200CD0001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C30014-0026-4A7D-B1F2-00F000FF00CA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170074-009E-4F12-99F6-00F200E100FD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7000A9-0060-486E-946F-00EE006E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2" id="{00BE004B-00B8-43F4-91E8-00EC009C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5F00F7-0002-4A62-B526-00EE003B00B7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88000E-00EC-4588-B50A-007700EA00E4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890038-0018-495C-8393-006E00FC005A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940066-00D1-44DC-8CE6-0086002400B4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3B00CE-00C0-4E57-B3CE-00C80054000D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8B00BA-003F-4A31-A9DA-0031004500AA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F50021-008C-4A41-9E09-00540029003B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850021-0003-4178-AAC4-009D00A700B1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5400E9-00C2-4BAA-B9BF-00F400EA0057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9600C5-0041-415A-AC78-0086001B0008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5600A0-004E-47A5-BE04-002D0019006A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9700F3-0005-4140-860A-00E4003D00F5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B200ED-002F-4CAA-9BFD-004600E800EF}">
            <xm:f>MOD($Q2,2)=0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1F003B-00B1-46B5-A30B-00EC0074004A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AC00C6-006A-42B7-9A55-00CA006800CA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9F007E-000E-46AF-8E42-001A00AA00A7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3E0053-0026-49F4-95EB-003800C400F6}">
            <xm:f>MOD($R2,2)=0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BA006E-001E-4AF0-8281-00E3003F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37</cp:revision>
  <dcterms:created xsi:type="dcterms:W3CDTF">2022-09-26T16:02:08Z</dcterms:created>
  <dcterms:modified xsi:type="dcterms:W3CDTF">2026-03-06T13:20:05Z</dcterms:modified>
  <cp:category/>
  <cp:contentStatus/>
</cp:coreProperties>
</file>