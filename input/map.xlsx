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Documents\01_Dave\Programs\GitHub_home\budget\input\"/>
    </mc:Choice>
  </mc:AlternateContent>
  <xr:revisionPtr revIDLastSave="0" documentId="13_ncr:1_{0B8AF4F2-1C0E-451C-8F6A-DDADF61699F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Sheet1!$A$1:$M$241</definedName>
    <definedName name="_xlcn.WorksheetConnection_budget_2024.xlsxTable2" hidden="1">'[1]budget 11-01-23'!$A$1:$M$198</definedName>
    <definedName name="_xlcn.WorksheetConnection_budget_2024.xlsxTable3" hidden="1">Table1</definedName>
    <definedName name="_xlnm.Print_Titles" localSheetId="0">Sheet1!$1:$1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7" i="1" l="1"/>
  <c r="B37" i="1"/>
  <c r="C238" i="1"/>
  <c r="B238" i="1"/>
  <c r="C237" i="1"/>
  <c r="B237" i="1"/>
  <c r="C236" i="1"/>
  <c r="B236" i="1"/>
  <c r="C235" i="1"/>
  <c r="B235" i="1"/>
  <c r="C234" i="1"/>
  <c r="B234" i="1"/>
  <c r="C233" i="1"/>
  <c r="B233" i="1"/>
  <c r="C232" i="1"/>
  <c r="B232" i="1"/>
  <c r="C231" i="1"/>
  <c r="B231" i="1"/>
  <c r="C230" i="1"/>
  <c r="B230" i="1"/>
  <c r="C229" i="1"/>
  <c r="B229" i="1"/>
  <c r="C228" i="1"/>
  <c r="B228" i="1"/>
  <c r="C227" i="1"/>
  <c r="B227" i="1"/>
  <c r="C226" i="1"/>
  <c r="B226" i="1"/>
  <c r="C225" i="1"/>
  <c r="B225" i="1"/>
  <c r="C224" i="1"/>
  <c r="B224" i="1"/>
  <c r="C223" i="1"/>
  <c r="B223" i="1"/>
  <c r="C222" i="1"/>
  <c r="B222" i="1"/>
  <c r="C221" i="1"/>
  <c r="B221" i="1"/>
  <c r="C220" i="1"/>
  <c r="B220" i="1"/>
  <c r="C219" i="1"/>
  <c r="B219" i="1"/>
  <c r="C218" i="1"/>
  <c r="B218" i="1"/>
  <c r="C217" i="1"/>
  <c r="B217" i="1"/>
  <c r="C216" i="1"/>
  <c r="B216" i="1"/>
  <c r="C215" i="1"/>
  <c r="B215" i="1"/>
  <c r="C214" i="1"/>
  <c r="B214" i="1"/>
  <c r="C213" i="1"/>
  <c r="B213" i="1"/>
  <c r="C212" i="1"/>
  <c r="B212" i="1"/>
  <c r="C211" i="1"/>
  <c r="B211" i="1"/>
  <c r="C210" i="1"/>
  <c r="B210" i="1"/>
  <c r="C209" i="1"/>
  <c r="B209" i="1"/>
  <c r="C208" i="1"/>
  <c r="B208" i="1"/>
  <c r="C207" i="1"/>
  <c r="B207" i="1"/>
  <c r="C206" i="1"/>
  <c r="B206" i="1"/>
  <c r="C205" i="1"/>
  <c r="B205" i="1"/>
  <c r="C204" i="1"/>
  <c r="B204" i="1"/>
  <c r="C203" i="1"/>
  <c r="B203" i="1"/>
  <c r="C202" i="1"/>
  <c r="B202" i="1"/>
  <c r="C201" i="1"/>
  <c r="B201" i="1"/>
  <c r="C200" i="1"/>
  <c r="B200" i="1"/>
  <c r="C199" i="1"/>
  <c r="B199" i="1"/>
  <c r="C198" i="1"/>
  <c r="B198" i="1"/>
  <c r="C197" i="1"/>
  <c r="B197" i="1"/>
  <c r="C196" i="1"/>
  <c r="B196" i="1"/>
  <c r="C195" i="1"/>
  <c r="B195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C174" i="1"/>
  <c r="B174" i="1"/>
  <c r="C173" i="1"/>
  <c r="B173" i="1"/>
  <c r="C172" i="1"/>
  <c r="B172" i="1"/>
  <c r="C171" i="1"/>
  <c r="B171" i="1"/>
  <c r="C170" i="1"/>
  <c r="B170" i="1"/>
  <c r="C169" i="1"/>
  <c r="B169" i="1"/>
  <c r="C168" i="1"/>
  <c r="B168" i="1"/>
  <c r="C167" i="1"/>
  <c r="B167" i="1"/>
  <c r="C166" i="1"/>
  <c r="B166" i="1"/>
  <c r="C165" i="1"/>
  <c r="B165" i="1"/>
  <c r="C164" i="1"/>
  <c r="B164" i="1"/>
  <c r="C163" i="1"/>
  <c r="B163" i="1"/>
  <c r="C162" i="1"/>
  <c r="B162" i="1"/>
  <c r="C161" i="1"/>
  <c r="B161" i="1"/>
  <c r="C160" i="1"/>
  <c r="B160" i="1"/>
  <c r="C159" i="1"/>
  <c r="B159" i="1"/>
  <c r="C158" i="1"/>
  <c r="B158" i="1"/>
  <c r="C157" i="1"/>
  <c r="B157" i="1"/>
  <c r="C156" i="1"/>
  <c r="B156" i="1"/>
  <c r="C155" i="1"/>
  <c r="B155" i="1"/>
  <c r="C154" i="1"/>
  <c r="B154" i="1"/>
  <c r="C153" i="1"/>
  <c r="B153" i="1"/>
  <c r="C152" i="1"/>
  <c r="B152" i="1"/>
  <c r="C151" i="1"/>
  <c r="B151" i="1"/>
  <c r="C150" i="1"/>
  <c r="B150" i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C129" i="1"/>
  <c r="B129" i="1"/>
  <c r="C128" i="1"/>
  <c r="B128" i="1"/>
  <c r="C127" i="1"/>
  <c r="B127" i="1"/>
  <c r="C126" i="1"/>
  <c r="B126" i="1"/>
  <c r="C125" i="1"/>
  <c r="B125" i="1"/>
  <c r="C124" i="1"/>
  <c r="B124" i="1"/>
  <c r="C123" i="1"/>
  <c r="B123" i="1"/>
  <c r="C122" i="1"/>
  <c r="B122" i="1"/>
  <c r="C121" i="1"/>
  <c r="B121" i="1"/>
  <c r="C120" i="1"/>
  <c r="B120" i="1"/>
  <c r="C119" i="1"/>
  <c r="B119" i="1"/>
  <c r="C118" i="1"/>
  <c r="B118" i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100" i="1"/>
  <c r="B100" i="1"/>
  <c r="C99" i="1"/>
  <c r="B99" i="1"/>
  <c r="C98" i="1"/>
  <c r="B98" i="1"/>
  <c r="C97" i="1"/>
  <c r="B97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72" i="1"/>
  <c r="B72" i="1"/>
  <c r="C71" i="1"/>
  <c r="B71" i="1"/>
  <c r="C70" i="1"/>
  <c r="B70" i="1"/>
  <c r="C69" i="1"/>
  <c r="B69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C10" i="1"/>
  <c r="B10" i="1"/>
  <c r="C9" i="1"/>
  <c r="B9" i="1"/>
  <c r="C8" i="1"/>
  <c r="B8" i="1"/>
  <c r="C7" i="1"/>
  <c r="C6" i="1"/>
  <c r="B6" i="1"/>
  <c r="C5" i="1"/>
  <c r="B5" i="1"/>
  <c r="C4" i="1"/>
  <c r="B4" i="1"/>
  <c r="C3" i="1"/>
  <c r="B3" i="1"/>
  <c r="C2" i="1"/>
  <c r="B2" i="1"/>
  <c r="M2" i="1" s="1"/>
  <c r="M3" i="1" l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l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37" i="1"/>
  <c r="M147" i="1" l="1"/>
  <c r="M148" i="1"/>
  <c r="M149" i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tc={7252F538-6D6E-97D8-146C-E9E4379178FC}</author>
  </authors>
  <commentList>
    <comment ref="D17" authorId="0" shapeId="0" xr:uid="{7252F538-6D6E-97D8-146C-E9E4379178FC}">
      <text>
        <r>
          <rPr>
            <b/>
            <sz val="9"/>
            <rFont val="Tahoma"/>
            <family val="2"/>
          </rPr>
          <t>David Hjelmar:</t>
        </r>
        <r>
          <rPr>
            <sz val="9"/>
            <rFont val="Tahoma"/>
            <family val="2"/>
          </rPr>
          <t xml:space="preserve">
only used from Covenant Fund in 2022. not used at all in 2023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0502E-5DB4-478A-BC58-A3AF73520BE3}" keepAlive="1" name="ThisWorkbookDataModel" description="Data Model" type="5" refreshedVersion="8" minRefreshableVersion="5" background="1">
    <dbPr connection="Data Model Connection" command="Model" commandType="1"/>
    <olapPr sendLocale="1" rowDrillCount="1000"/>
  </connection>
  <connection id="2" xr16:uid="{FE2DD38A-3F91-47BB-8FD4-88ACDF0CE342}" name="WorksheetConnection_budget_2024.xlsx!Table2" type="102" refreshedVersion="8" minRefreshableVersion="5">
    <extLst>
      <ext xmlns:x15="http://schemas.microsoft.com/office/spreadsheetml/2010/11/main" uri="{DE250136-89BD-433C-8126-D09CA5730AF9}">
        <x15:connection id="Table2">
          <x15:rangePr sourceName="_xlcn.WorksheetConnection_budget_2024.xlsxTable2"/>
        </x15:connection>
      </ext>
    </extLst>
  </connection>
  <connection id="3" xr16:uid="{2202441F-1020-42E7-A9A4-13A4F9EC4EDA}" name="WorksheetConnection_budget_2024.xlsx!Table3" type="102" refreshedVersion="8" minRefreshableVersion="5">
    <extLst>
      <ext xmlns:x15="http://schemas.microsoft.com/office/spreadsheetml/2010/11/main" uri="{DE250136-89BD-433C-8126-D09CA5730AF9}">
        <x15:connection id="Table3">
          <x15:rangePr sourceName="_xlcn.WorksheetConnection_budget_2024.xlsxTable3"/>
        </x15:connection>
      </ext>
    </extLst>
  </connection>
</connections>
</file>

<file path=xl/sharedStrings.xml><?xml version="1.0" encoding="utf-8"?>
<sst xmlns="http://schemas.openxmlformats.org/spreadsheetml/2006/main" count="2383" uniqueCount="338">
  <si>
    <t>InOrOut</t>
  </si>
  <si>
    <t>L1</t>
  </si>
  <si>
    <t>L2</t>
  </si>
  <si>
    <t>Account</t>
  </si>
  <si>
    <t>SourceOfFunds</t>
  </si>
  <si>
    <t>Purpose</t>
  </si>
  <si>
    <t>Committee_Detail</t>
  </si>
  <si>
    <t>Split Funding</t>
  </si>
  <si>
    <t>Split Funding Detail</t>
  </si>
  <si>
    <t>Old GreenSheet</t>
  </si>
  <si>
    <t>Old GreenSheetDetails</t>
  </si>
  <si>
    <t>AnnualReport</t>
  </si>
  <si>
    <t>In</t>
  </si>
  <si>
    <t>4000 Classis Assessment</t>
  </si>
  <si>
    <t>Designated Funds</t>
  </si>
  <si>
    <t>Operations</t>
  </si>
  <si>
    <t>Contributions</t>
  </si>
  <si>
    <t>01 Classis Assessments</t>
  </si>
  <si>
    <t>4001 Classis Assessments</t>
  </si>
  <si>
    <t>4010 Current Year Pledges</t>
  </si>
  <si>
    <t>Unrestricted</t>
  </si>
  <si>
    <t>Contributions - pledge</t>
  </si>
  <si>
    <t>02 Contributions</t>
  </si>
  <si>
    <t>4011 Prior Year Pledges</t>
  </si>
  <si>
    <t>4012 Non Pledge Contributions</t>
  </si>
  <si>
    <t>Education, Music, &amp; Arts</t>
  </si>
  <si>
    <t>4013 Vespers Offering</t>
  </si>
  <si>
    <t>4014 Easter Offering</t>
  </si>
  <si>
    <t>Mission</t>
  </si>
  <si>
    <t>4015 Christmas Offering</t>
  </si>
  <si>
    <t>4016 Thanksgiving Offering</t>
  </si>
  <si>
    <t>4017 Special Offerings</t>
  </si>
  <si>
    <t>4021 Charitable Distributions</t>
  </si>
  <si>
    <t>4022 Wednesday Lunch</t>
  </si>
  <si>
    <t>4023 Online Giving</t>
  </si>
  <si>
    <t>4024 Senior High Mission Trip income</t>
  </si>
  <si>
    <t>4025 Concert Series</t>
  </si>
  <si>
    <t>4026 Audio/Visual Technology</t>
  </si>
  <si>
    <t>4031 Special Offerings (designated)</t>
  </si>
  <si>
    <t>4032 Designated Restricted Contributions</t>
  </si>
  <si>
    <t>Designated</t>
  </si>
  <si>
    <t>2215 Checking Account</t>
  </si>
  <si>
    <t>Checking</t>
  </si>
  <si>
    <t>03 Investment Income</t>
  </si>
  <si>
    <t>Investment</t>
  </si>
  <si>
    <t>4041 Endowment Income</t>
  </si>
  <si>
    <t>Endowment</t>
  </si>
  <si>
    <t>4043 Schermerhorn Income</t>
  </si>
  <si>
    <t>Schermerhorn and Birch Funds</t>
  </si>
  <si>
    <t>4044 Birch Income</t>
  </si>
  <si>
    <t>4045 UP Mission Fund Income</t>
  </si>
  <si>
    <t>UP Mission Fund</t>
  </si>
  <si>
    <t>4046 UP Mission Fund Income</t>
  </si>
  <si>
    <t>4049 Tercentenary Income</t>
  </si>
  <si>
    <t>Tercentenary Fund</t>
  </si>
  <si>
    <t>4061 McDonald (Covenant)</t>
  </si>
  <si>
    <t>Covenant Fund but Unrestricted Use</t>
  </si>
  <si>
    <t>Covenant Fund</t>
  </si>
  <si>
    <t>04 Covenant Income</t>
  </si>
  <si>
    <t>4062 Covenant Fund Income</t>
  </si>
  <si>
    <t>4063 Covenant Income for M&amp;B</t>
  </si>
  <si>
    <t>4052 Facility Use Income</t>
  </si>
  <si>
    <t>Other income</t>
  </si>
  <si>
    <t>05 Other Income</t>
  </si>
  <si>
    <t>4053 Misc Income</t>
  </si>
  <si>
    <t>4054 Rental Income</t>
  </si>
  <si>
    <t>4055 Holiday/Memorial Flowers income</t>
  </si>
  <si>
    <t>4056 Chancel Guild Income/Cook Trust</t>
  </si>
  <si>
    <t>Cook Trust</t>
  </si>
  <si>
    <t>4057 Scholarship from Education Fund income</t>
  </si>
  <si>
    <t>0000 Checking Account</t>
  </si>
  <si>
    <t>Checking Account</t>
  </si>
  <si>
    <t>Out</t>
  </si>
  <si>
    <t>5013 Wages Sr. Pastor</t>
  </si>
  <si>
    <t>Personnel</t>
  </si>
  <si>
    <t>Sr. Pastor</t>
  </si>
  <si>
    <t>07 Worship &amp; Arts</t>
  </si>
  <si>
    <t>07c Worship &amp; Arts Senior Pastor</t>
  </si>
  <si>
    <t>5014 Medical Sr. Pastor</t>
  </si>
  <si>
    <t>5015 Retirement Sr. Pastor</t>
  </si>
  <si>
    <t>5016 Social Security Offset Sr. Pastor</t>
  </si>
  <si>
    <t>5017 Business &amp; Auto Sr. Pastor</t>
  </si>
  <si>
    <t>5018 Housing Sr. Pastor</t>
  </si>
  <si>
    <t>5011 Continuing Ed Sr. Pastor</t>
  </si>
  <si>
    <t>Personnel - Education</t>
  </si>
  <si>
    <t>5019 Disability &amp; Life Sr. Pastor</t>
  </si>
  <si>
    <t>5020 Pastoral Search Expense</t>
  </si>
  <si>
    <t>Pastoral Search</t>
  </si>
  <si>
    <t>07a Worship &amp; Arts</t>
  </si>
  <si>
    <t>5042 FICA Music</t>
  </si>
  <si>
    <t>Music</t>
  </si>
  <si>
    <t>07b Worship &amp; Arts Music Staff</t>
  </si>
  <si>
    <t>5043 Wages Music</t>
  </si>
  <si>
    <t>6004 Audio Visual Contract Services</t>
  </si>
  <si>
    <t>Worship &amp; Arts</t>
  </si>
  <si>
    <t>Worship</t>
  </si>
  <si>
    <t>6005 Communion</t>
  </si>
  <si>
    <t>6015 Honorarim (Pulpit Organ)</t>
  </si>
  <si>
    <t>6016 Organ Repair</t>
  </si>
  <si>
    <t>Worship - Music &amp; Art</t>
  </si>
  <si>
    <t>6020 Instrument Maintenance</t>
  </si>
  <si>
    <t>6025 Misc Music Expense</t>
  </si>
  <si>
    <t>6030 Misc Worship Expense</t>
  </si>
  <si>
    <t>6035 Music and Rights</t>
  </si>
  <si>
    <t>6036 Choir Robes</t>
  </si>
  <si>
    <t>6040 Childrens Choir</t>
  </si>
  <si>
    <t>6045 Handbells</t>
  </si>
  <si>
    <t>5044 Continuing Education Music</t>
  </si>
  <si>
    <t>6050 Musicians</t>
  </si>
  <si>
    <t>6065 Special Worship</t>
  </si>
  <si>
    <t>6066 Orff Program</t>
  </si>
  <si>
    <t>6070 Ushers</t>
  </si>
  <si>
    <t>6075 Vespers</t>
  </si>
  <si>
    <t>Education, Music, &amp; Arts - split funded</t>
  </si>
  <si>
    <t>6076 Holiday/Memorial Flowers expenses</t>
  </si>
  <si>
    <t>6078 Audio Sound /Video Streaming expenses</t>
  </si>
  <si>
    <t>6081 Art Display Expense</t>
  </si>
  <si>
    <t>6082 Candle,Oil,Wreth Exp.</t>
  </si>
  <si>
    <t>6083 Vesting for Sanctuary</t>
  </si>
  <si>
    <t>6084 Chancel Guild expenses/Cook Trust</t>
  </si>
  <si>
    <t>6077 Audio sound expenses</t>
  </si>
  <si>
    <t>6079 Miscast Cabaret</t>
  </si>
  <si>
    <t>6080 Art Series</t>
  </si>
  <si>
    <t>5080 Continuing Education Youth</t>
  </si>
  <si>
    <t>Youth Ed</t>
  </si>
  <si>
    <t>08 Youth Ed</t>
  </si>
  <si>
    <t>08b Youth Ed Staff</t>
  </si>
  <si>
    <t>5072 FICA Youth</t>
  </si>
  <si>
    <t>5073 Wages Youth</t>
  </si>
  <si>
    <t>5074 Health Insurance Youth</t>
  </si>
  <si>
    <t>5075 Retirement Youth</t>
  </si>
  <si>
    <t>6105 Audio/Visual Church School</t>
  </si>
  <si>
    <t>08a Youth Ed</t>
  </si>
  <si>
    <t>Programs</t>
  </si>
  <si>
    <t>6110 Confirmation/Communion</t>
  </si>
  <si>
    <t>6115 Curriculum Church School</t>
  </si>
  <si>
    <t>6116 Childrens Library</t>
  </si>
  <si>
    <t>6120 Family Programming</t>
  </si>
  <si>
    <t>6124 Junior and Senior Youth</t>
  </si>
  <si>
    <t>6126 Misc. Education Expense</t>
  </si>
  <si>
    <t>6130 Recognition/Development</t>
  </si>
  <si>
    <t>6135 Senior High Mission Trip</t>
  </si>
  <si>
    <t>Split Funding (Covenant Fund beyond designated contributions)</t>
  </si>
  <si>
    <t>Mission - split funded</t>
  </si>
  <si>
    <t>6145 Special Youth Service</t>
  </si>
  <si>
    <t>6150 Food, Church School</t>
  </si>
  <si>
    <t>6155 Supplies, Church School</t>
  </si>
  <si>
    <t>6160 Supplies Kinderwyk</t>
  </si>
  <si>
    <t>6165 Vacation Bible School</t>
  </si>
  <si>
    <t>6121 Camp Fowler scholarships</t>
  </si>
  <si>
    <t>6303 Undesignated and Emergency</t>
  </si>
  <si>
    <t>M&amp;B</t>
  </si>
  <si>
    <t>Mission - Covenant Fund</t>
  </si>
  <si>
    <t>09 M&amp;B</t>
  </si>
  <si>
    <t>6305 Education (M&amp;B)</t>
  </si>
  <si>
    <t>6310 Local Concerns</t>
  </si>
  <si>
    <t>6315 National Oversseas</t>
  </si>
  <si>
    <t>6319 Minister Discretionary (Sr Pastor)</t>
  </si>
  <si>
    <t>6322 Ministers Discretionary (Assoc. Pastor)</t>
  </si>
  <si>
    <t>6323 Albany Synod Programs</t>
  </si>
  <si>
    <t>6324 Camp Fowler support (M&amp;B)</t>
  </si>
  <si>
    <t>6325 Special Offerings</t>
  </si>
  <si>
    <t>Mission - Contributions</t>
  </si>
  <si>
    <t>6326 UP Mission</t>
  </si>
  <si>
    <t>UP Mission</t>
  </si>
  <si>
    <t>Mission - UP Mission Fund</t>
  </si>
  <si>
    <t>6340 Special Offering</t>
  </si>
  <si>
    <t>6306 Little Pantry</t>
  </si>
  <si>
    <t>6350 Other Covenant Programs</t>
  </si>
  <si>
    <t>10 Covenant Fund</t>
  </si>
  <si>
    <t>10a Covenant Fund Lunn</t>
  </si>
  <si>
    <t>6351 Approved Covenant Programs</t>
  </si>
  <si>
    <t>6356 Lunn Office</t>
  </si>
  <si>
    <t>6360 Small Grants</t>
  </si>
  <si>
    <t>6366 Wednesday Lunch</t>
  </si>
  <si>
    <t>10b Mission Coordinators</t>
  </si>
  <si>
    <t>6367 Mission &amp; Volunteer Expense</t>
  </si>
  <si>
    <t>6368 Kitchen supplies</t>
  </si>
  <si>
    <t>6369 To Go Containers</t>
  </si>
  <si>
    <t>6373 Wages Lunch Coordinator</t>
  </si>
  <si>
    <t>Wednesday lunch coordinator</t>
  </si>
  <si>
    <t>6374 FICA Lunch Coordinator</t>
  </si>
  <si>
    <t>6375 Continuing Education Lunch Coordinator</t>
  </si>
  <si>
    <t>6404 Period./Books/Newsp.for ass. pastor</t>
  </si>
  <si>
    <t>Adult Ed</t>
  </si>
  <si>
    <t>11 Adult Ed</t>
  </si>
  <si>
    <t>6405 Library Books</t>
  </si>
  <si>
    <t xml:space="preserve">6409 Scholarship from Education Fund expence </t>
  </si>
  <si>
    <t>6410 Devotional Literature/Small groups Literature</t>
  </si>
  <si>
    <t>6415 Faith Forming Weekend</t>
  </si>
  <si>
    <t>6420 Guest Spearkers and Adult Forum</t>
  </si>
  <si>
    <t>6430 Lenten Programming</t>
  </si>
  <si>
    <t>6435 Library Periodicals &amp; Fees</t>
  </si>
  <si>
    <t>6440 Resources (Adult Ed.)</t>
  </si>
  <si>
    <t>6445 Adult Retreats and Workshops</t>
  </si>
  <si>
    <t>6450 Small Groups</t>
  </si>
  <si>
    <t>6460 Library Supplies &amp; Equipment</t>
  </si>
  <si>
    <t>5051 Continuing Ed (Assoc Pastor)</t>
  </si>
  <si>
    <t>Assoc. Pastor</t>
  </si>
  <si>
    <t>12 Care &amp; Support</t>
  </si>
  <si>
    <t>12b Care &amp; Support Associate Pastor</t>
  </si>
  <si>
    <t>5053 Wages (Assoc Pastor)</t>
  </si>
  <si>
    <t>5054 Medical (Assoc Pastor)</t>
  </si>
  <si>
    <t>5055 Retirement (Assoc Pastor)</t>
  </si>
  <si>
    <t>5056 Social Security Offset (Assoc Pastor)</t>
  </si>
  <si>
    <t>5057 Business &amp; Auto (Assoc Pastor)</t>
  </si>
  <si>
    <t>5058 Housing Expense (Assoc Pastor)</t>
  </si>
  <si>
    <t>5059 Disability/Life (Assoc Pastor)</t>
  </si>
  <si>
    <t>6505 Honorariums</t>
  </si>
  <si>
    <t>Care &amp; Support</t>
  </si>
  <si>
    <t>12a Care &amp; Support</t>
  </si>
  <si>
    <t>6515 Resources Grief Booklets</t>
  </si>
  <si>
    <t>6520 Care &amp; Support Materials</t>
  </si>
  <si>
    <t>6521 Prayer Shawl</t>
  </si>
  <si>
    <t>6522 Flowers Support &amp; Care</t>
  </si>
  <si>
    <t>6605 Churchwide Social Events</t>
  </si>
  <si>
    <t>Membership</t>
  </si>
  <si>
    <t>13 Membership</t>
  </si>
  <si>
    <t>6610 Coffee Hour</t>
  </si>
  <si>
    <t>6620 Supplies Hospitality</t>
  </si>
  <si>
    <t>6705 Membership Committee</t>
  </si>
  <si>
    <t>6706 Art Night</t>
  </si>
  <si>
    <t>6707 temp number for Classis meeting expense</t>
  </si>
  <si>
    <t>6806 Composting</t>
  </si>
  <si>
    <t>Creation Care</t>
  </si>
  <si>
    <t>14 Creation Care</t>
  </si>
  <si>
    <t>6807 Supplies</t>
  </si>
  <si>
    <t>6808 Recycled Paper</t>
  </si>
  <si>
    <t>6809 Media</t>
  </si>
  <si>
    <t>5036 Continuing Education (Property)</t>
  </si>
  <si>
    <t>Maintenance</t>
  </si>
  <si>
    <t>15 Property</t>
  </si>
  <si>
    <t>15b Property Staff</t>
  </si>
  <si>
    <t>5032 FICA Maintenance (Property)</t>
  </si>
  <si>
    <t>5033 Wages Maintenance (Property)</t>
  </si>
  <si>
    <t>5034 Medical Maintenance (Property)</t>
  </si>
  <si>
    <t>5035 Retirement Maintenance (Property)</t>
  </si>
  <si>
    <t>5037 Houskeeping staff (new position)</t>
  </si>
  <si>
    <t>7001 Custodian Fee/Other serv. Fee</t>
  </si>
  <si>
    <t>Property</t>
  </si>
  <si>
    <t>15a Property</t>
  </si>
  <si>
    <t>7010 Electricity 10N Church</t>
  </si>
  <si>
    <t>7015 Electricity 12N Church</t>
  </si>
  <si>
    <t>7020 Electricity 8N Church</t>
  </si>
  <si>
    <t>7025 Electricity Parking Lot</t>
  </si>
  <si>
    <t>7030 Energy Improvements</t>
  </si>
  <si>
    <t>7035 Equipment (Maint.)</t>
  </si>
  <si>
    <t>7040 Fuel 10N Church</t>
  </si>
  <si>
    <t>7045 Fuel 12N Church</t>
  </si>
  <si>
    <t>7050 Fuel 8N Church</t>
  </si>
  <si>
    <t>7051 Solar 10 N Church</t>
  </si>
  <si>
    <t>7052 Solar 12N Church</t>
  </si>
  <si>
    <t>7053 Solar 8N Church</t>
  </si>
  <si>
    <t>7054 Solar Parking Lot</t>
  </si>
  <si>
    <t>7055 Grounds Upkeep</t>
  </si>
  <si>
    <t>7070 Misc Grounds Supplies</t>
  </si>
  <si>
    <t>7075 Regular Services</t>
  </si>
  <si>
    <t>7080 Repairs/Maint 10N Church</t>
  </si>
  <si>
    <t>7085 Repairs/Maint 12N Church</t>
  </si>
  <si>
    <t>7090 Repairs/Maint 8N Church</t>
  </si>
  <si>
    <t>7095 Security</t>
  </si>
  <si>
    <t>7100 Supplies/Cleaning</t>
  </si>
  <si>
    <t>7105 Supplies/Food (Maint.)</t>
  </si>
  <si>
    <t>7110 Supplies/Materials (Maint.)</t>
  </si>
  <si>
    <t>7115 Taxes &amp; Water</t>
  </si>
  <si>
    <t>7120 Operational Maintenance</t>
  </si>
  <si>
    <t>7121 Building Expense (unanticipated repairs)</t>
  </si>
  <si>
    <t>Unrestricted (and Designated, e.g., Columbarium)</t>
  </si>
  <si>
    <t>7122 Vale Cemetery upkeep</t>
  </si>
  <si>
    <t>8005 Audit and Consulting</t>
  </si>
  <si>
    <t>Finance</t>
  </si>
  <si>
    <t>16 Finance</t>
  </si>
  <si>
    <t>8010 Classis Assessments</t>
  </si>
  <si>
    <t>8015 Insurance</t>
  </si>
  <si>
    <t xml:space="preserve">8020 990 Preparation Expense </t>
  </si>
  <si>
    <t>8022 Finance Charge Online Giving</t>
  </si>
  <si>
    <t>8025 NYS Unemployment Insurance</t>
  </si>
  <si>
    <t>8030 Offering Envelopes</t>
  </si>
  <si>
    <t>8035 Payroll Processing</t>
  </si>
  <si>
    <t>8040 Stewardship</t>
  </si>
  <si>
    <t>8110 Archives &amp; Restoration</t>
  </si>
  <si>
    <t>Archives</t>
  </si>
  <si>
    <t>17 Archives</t>
  </si>
  <si>
    <t>8125 Supplies Archives</t>
  </si>
  <si>
    <t>8111 Four Chaplains(6 people)</t>
  </si>
  <si>
    <t>5006 Continuing Education Administration</t>
  </si>
  <si>
    <t>Office</t>
  </si>
  <si>
    <t>18 Administration</t>
  </si>
  <si>
    <t>18b Administration Staff</t>
  </si>
  <si>
    <t>5002 FICA Administration</t>
  </si>
  <si>
    <t>5003 Wages Administration</t>
  </si>
  <si>
    <t>5004 Retirement Administration</t>
  </si>
  <si>
    <t>5005 Medical Administration</t>
  </si>
  <si>
    <t>9001 Personnel Committee expense</t>
  </si>
  <si>
    <t>18a Administration</t>
  </si>
  <si>
    <t>9002 Business ans auto expense</t>
  </si>
  <si>
    <t>9005 Computer Maint/Repair/Internet</t>
  </si>
  <si>
    <t>9007 Audio Visual Contract Services (replaced by 6004 in Worship)</t>
  </si>
  <si>
    <t>9010 Consistory Expense</t>
  </si>
  <si>
    <t>9015 Copier/Cannon rent./Maint.</t>
  </si>
  <si>
    <t>9020 Equipment</t>
  </si>
  <si>
    <t>9025 Office Supplies</t>
  </si>
  <si>
    <t>9030 Other Admin Expense</t>
  </si>
  <si>
    <t>9035 Paper</t>
  </si>
  <si>
    <t>9040 Postage</t>
  </si>
  <si>
    <t>9045 Printing</t>
  </si>
  <si>
    <t>9055 Staff Searches</t>
  </si>
  <si>
    <t>9060 Telephone &amp; Internet</t>
  </si>
  <si>
    <t>9061 Contract Services/Zoom/Google...</t>
  </si>
  <si>
    <t>9050 Staff Development Administration</t>
  </si>
  <si>
    <t>9111 Advertising</t>
  </si>
  <si>
    <t>Communications</t>
  </si>
  <si>
    <t>19 Communications</t>
  </si>
  <si>
    <t>19a Communications</t>
  </si>
  <si>
    <t>9112 Website</t>
  </si>
  <si>
    <t>9113 Communication Technology</t>
  </si>
  <si>
    <t>9114 Volunteer Needs</t>
  </si>
  <si>
    <t>9115 Paper</t>
  </si>
  <si>
    <t>9116 Supplies</t>
  </si>
  <si>
    <t>9121 Wages Communication Specialist</t>
  </si>
  <si>
    <t>Communication Specialist</t>
  </si>
  <si>
    <t>19b Communications Staff</t>
  </si>
  <si>
    <t>9122 FICA Communication Specialist</t>
  </si>
  <si>
    <t>9123 Retirement Communication Speicalist</t>
  </si>
  <si>
    <t>9125 Continuing Education Communications Specialist</t>
  </si>
  <si>
    <t>1234 Designated Fund Income</t>
  </si>
  <si>
    <t>20 Designated</t>
  </si>
  <si>
    <t>4045a Linear Adj: UP Mission Fund Income</t>
  </si>
  <si>
    <t>Investment Income - Linear Adjustments</t>
  </si>
  <si>
    <t>Linear Adjustment</t>
  </si>
  <si>
    <t>4046a Linear Adj: UP Mission Fund Income</t>
  </si>
  <si>
    <t>4049a Linear Adj: Tercentenary Income</t>
  </si>
  <si>
    <t>4061a Linear Adj: McDonald (Covenant)</t>
  </si>
  <si>
    <t>4062a Linear Adj: Covenant Fund Income</t>
  </si>
  <si>
    <t>4063a Linear Adj: Covenant Income for M&amp;B</t>
  </si>
  <si>
    <t>2215a Linear Adj: Checking Account</t>
  </si>
  <si>
    <t>4041a Linear Adj: Endowment Income</t>
  </si>
  <si>
    <t>5012 FICA Senior Pastor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</si>
</sst>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theme="1"/>
      <name val="Arial"/>
      <scheme val="minor"/>
    </font>
    <font>
      <sz val="10"/>
      <name val="Arial"/>
      <family val="2"/>
    </font>
    <font>
      <b/>
      <sz val="11"/>
      <color theme="1"/>
      <name val="Arial"/>
      <family val="2"/>
    </font>
    <font>
      <sz val="10"/>
      <name val="Arial"/>
      <family val="2"/>
      <scheme val="minor"/>
    </font>
    <font>
      <sz val="11"/>
      <color theme="1"/>
      <name val="Arial"/>
      <family val="2"/>
    </font>
    <font>
      <sz val="10"/>
      <color indexed="2"/>
      <name val="Arial"/>
      <family val="2"/>
      <scheme val="minor"/>
    </font>
    <font>
      <sz val="10"/>
      <color theme="1"/>
      <name val="Arial"/>
      <family val="2"/>
      <scheme val="minor"/>
    </font>
    <font>
      <b/>
      <sz val="9"/>
      <name val="Tahoma"/>
      <family val="2"/>
    </font>
    <font>
      <sz val="9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indexed="5"/>
      </patternFill>
    </fill>
    <fill>
      <patternFill patternType="solid">
        <fgColor indexed="65"/>
      </patternFill>
    </fill>
    <fill>
      <patternFill patternType="solid">
        <fgColor theme="0"/>
        <bgColor rgb="FFD9D9D9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center"/>
    </xf>
    <xf numFmtId="49" fontId="2" fillId="2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vertical="top"/>
    </xf>
    <xf numFmtId="0" fontId="3" fillId="3" borderId="0" xfId="0" applyFont="1" applyFill="1" applyAlignment="1">
      <alignment vertical="top"/>
    </xf>
    <xf numFmtId="0" fontId="0" fillId="0" borderId="0" xfId="0" applyAlignment="1">
      <alignment horizontal="left" vertical="top"/>
    </xf>
    <xf numFmtId="0" fontId="4" fillId="4" borderId="2" xfId="0" applyFont="1" applyFill="1" applyBorder="1" applyAlignment="1">
      <alignment vertical="top"/>
    </xf>
    <xf numFmtId="0" fontId="4" fillId="5" borderId="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2" xfId="0" applyFont="1" applyFill="1" applyBorder="1" applyAlignment="1">
      <alignment vertical="top"/>
    </xf>
    <xf numFmtId="0" fontId="5" fillId="3" borderId="0" xfId="0" applyFont="1" applyFill="1" applyAlignment="1">
      <alignment vertical="top"/>
    </xf>
    <xf numFmtId="0" fontId="5" fillId="0" borderId="2" xfId="0" applyFont="1" applyBorder="1" applyAlignment="1">
      <alignment vertical="top"/>
    </xf>
    <xf numFmtId="0" fontId="6" fillId="0" borderId="0" xfId="0" applyFont="1" applyAlignment="1">
      <alignment vertical="top"/>
    </xf>
  </cellXfs>
  <cellStyles count="2">
    <cellStyle name="Normal" xfId="0" builtinId="0"/>
    <cellStyle name="Normal 2" xfId="1" xr:uid="{00000000-0005-0000-0000-000001000000}"/>
  </cellStyles>
  <dxfs count="152"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udget%2011-01-2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11-01-23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avid Hjelmar" id="{51CD3048-503E-5E36-90FF-DBA310EFA3B3}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" personId="{51CD3048-503E-5E36-90FF-DBA310EFA3B3}" id="{7252F538-6D6E-97D8-146C-E9E4379178FC}" done="0">
    <text xml:space="preserve">only used from Covenant Fund in 2022. not used at all in 2023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38"/>
  <sheetViews>
    <sheetView tabSelected="1" workbookViewId="0">
      <pane ySplit="2" topLeftCell="A15" activePane="bottomLeft" state="frozen"/>
      <selection activeCell="G139" sqref="G127:G139"/>
      <selection pane="bottomLeft" activeCell="D37" sqref="D37"/>
    </sheetView>
  </sheetViews>
  <sheetFormatPr defaultRowHeight="12.75" x14ac:dyDescent="0.2"/>
  <cols>
    <col min="1" max="1" width="10.85546875" style="1" customWidth="1"/>
    <col min="2" max="2" width="22.140625" style="1" bestFit="1" customWidth="1"/>
    <col min="3" max="3" width="22.140625" style="1" customWidth="1"/>
    <col min="4" max="4" width="56.5703125" style="1" bestFit="1" customWidth="1"/>
    <col min="5" max="5" width="36.85546875" style="1" customWidth="1"/>
    <col min="6" max="6" width="35.28515625" style="1" customWidth="1"/>
    <col min="7" max="9" width="32.85546875" style="1" hidden="1" customWidth="1"/>
    <col min="10" max="11" width="32.85546875" hidden="1" customWidth="1"/>
    <col min="12" max="12" width="20.140625" customWidth="1"/>
    <col min="13" max="16384" width="9.140625" style="1"/>
  </cols>
  <sheetData>
    <row r="1" spans="1:13" s="2" customFormat="1" ht="21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>
        <v>0</v>
      </c>
    </row>
    <row r="2" spans="1:13" x14ac:dyDescent="0.2">
      <c r="A2" s="1" t="s">
        <v>12</v>
      </c>
      <c r="B2" s="1" t="str">
        <f t="shared" ref="B2:B9" si="0">F2</f>
        <v>Operations</v>
      </c>
      <c r="C2" s="1" t="str">
        <f t="shared" ref="C2:C9" si="1">G2</f>
        <v>Contributions</v>
      </c>
      <c r="D2" t="s">
        <v>13</v>
      </c>
      <c r="E2" t="s">
        <v>14</v>
      </c>
      <c r="F2" s="1" t="s">
        <v>15</v>
      </c>
      <c r="G2" s="1" t="s">
        <v>16</v>
      </c>
      <c r="H2" s="1" t="s">
        <v>15</v>
      </c>
      <c r="I2" s="1" t="s">
        <v>16</v>
      </c>
      <c r="J2" s="1" t="s">
        <v>17</v>
      </c>
      <c r="K2" s="1" t="s">
        <v>17</v>
      </c>
      <c r="L2" s="1" t="s">
        <v>16</v>
      </c>
      <c r="M2" s="1">
        <f t="shared" ref="M2:M33" si="2">IF(B2=B1,M1,M1+1)</f>
        <v>1</v>
      </c>
    </row>
    <row r="3" spans="1:13" x14ac:dyDescent="0.2">
      <c r="A3" s="1" t="s">
        <v>12</v>
      </c>
      <c r="B3" s="1" t="str">
        <f t="shared" si="0"/>
        <v>Operations</v>
      </c>
      <c r="C3" s="1" t="str">
        <f t="shared" si="1"/>
        <v>Contributions</v>
      </c>
      <c r="D3" s="1" t="s">
        <v>18</v>
      </c>
      <c r="E3" s="1" t="s">
        <v>14</v>
      </c>
      <c r="F3" s="1" t="s">
        <v>15</v>
      </c>
      <c r="G3" s="1" t="s">
        <v>16</v>
      </c>
      <c r="H3" s="1" t="s">
        <v>15</v>
      </c>
      <c r="I3" s="1" t="s">
        <v>16</v>
      </c>
      <c r="J3" s="1" t="s">
        <v>17</v>
      </c>
      <c r="K3" s="1" t="s">
        <v>17</v>
      </c>
      <c r="L3" s="1" t="s">
        <v>16</v>
      </c>
      <c r="M3" s="1">
        <f t="shared" si="2"/>
        <v>1</v>
      </c>
    </row>
    <row r="4" spans="1:13" x14ac:dyDescent="0.2">
      <c r="A4" s="1" t="s">
        <v>12</v>
      </c>
      <c r="B4" s="1" t="str">
        <f t="shared" si="0"/>
        <v>Operations</v>
      </c>
      <c r="C4" s="1" t="str">
        <f t="shared" si="1"/>
        <v>Contributions - pledge</v>
      </c>
      <c r="D4" s="1" t="s">
        <v>19</v>
      </c>
      <c r="E4" s="1" t="s">
        <v>20</v>
      </c>
      <c r="F4" s="1" t="s">
        <v>15</v>
      </c>
      <c r="G4" s="1" t="s">
        <v>21</v>
      </c>
      <c r="H4" s="1" t="s">
        <v>15</v>
      </c>
      <c r="I4" s="1" t="s">
        <v>21</v>
      </c>
      <c r="J4" s="1" t="s">
        <v>22</v>
      </c>
      <c r="K4" s="1" t="s">
        <v>22</v>
      </c>
      <c r="L4" s="1" t="s">
        <v>16</v>
      </c>
      <c r="M4" s="1">
        <f t="shared" si="2"/>
        <v>1</v>
      </c>
    </row>
    <row r="5" spans="1:13" x14ac:dyDescent="0.2">
      <c r="A5" s="1" t="s">
        <v>12</v>
      </c>
      <c r="B5" s="1" t="str">
        <f t="shared" si="0"/>
        <v>Operations</v>
      </c>
      <c r="C5" s="1" t="str">
        <f t="shared" si="1"/>
        <v>Contributions</v>
      </c>
      <c r="D5" t="s">
        <v>23</v>
      </c>
      <c r="E5" s="1" t="s">
        <v>20</v>
      </c>
      <c r="F5" s="1" t="s">
        <v>15</v>
      </c>
      <c r="G5" s="1" t="s">
        <v>16</v>
      </c>
      <c r="H5" s="1" t="s">
        <v>15</v>
      </c>
      <c r="I5" s="1" t="s">
        <v>16</v>
      </c>
      <c r="J5" s="1" t="s">
        <v>22</v>
      </c>
      <c r="K5" s="1" t="s">
        <v>22</v>
      </c>
      <c r="L5" s="1" t="s">
        <v>16</v>
      </c>
      <c r="M5" s="1">
        <f t="shared" si="2"/>
        <v>1</v>
      </c>
    </row>
    <row r="6" spans="1:13" x14ac:dyDescent="0.2">
      <c r="A6" s="1" t="s">
        <v>12</v>
      </c>
      <c r="B6" s="1" t="str">
        <f t="shared" si="0"/>
        <v>Operations</v>
      </c>
      <c r="C6" s="1" t="str">
        <f t="shared" si="1"/>
        <v>Contributions</v>
      </c>
      <c r="D6" s="1" t="s">
        <v>24</v>
      </c>
      <c r="E6" s="1" t="s">
        <v>20</v>
      </c>
      <c r="F6" s="1" t="s">
        <v>15</v>
      </c>
      <c r="G6" s="1" t="s">
        <v>16</v>
      </c>
      <c r="H6" s="1" t="s">
        <v>15</v>
      </c>
      <c r="I6" s="1" t="s">
        <v>16</v>
      </c>
      <c r="J6" s="1" t="s">
        <v>22</v>
      </c>
      <c r="K6" s="1" t="s">
        <v>22</v>
      </c>
      <c r="L6" s="1" t="s">
        <v>16</v>
      </c>
      <c r="M6" s="1">
        <f t="shared" si="2"/>
        <v>1</v>
      </c>
    </row>
    <row r="7" spans="1:13" x14ac:dyDescent="0.2">
      <c r="A7" s="1" t="s">
        <v>12</v>
      </c>
      <c r="B7" s="1" t="s">
        <v>25</v>
      </c>
      <c r="C7" s="1" t="str">
        <f t="shared" si="1"/>
        <v>Contributions</v>
      </c>
      <c r="D7" s="1" t="s">
        <v>26</v>
      </c>
      <c r="E7" t="s">
        <v>14</v>
      </c>
      <c r="F7" s="1" t="s">
        <v>15</v>
      </c>
      <c r="G7" s="1" t="s">
        <v>16</v>
      </c>
      <c r="H7" s="1" t="s">
        <v>15</v>
      </c>
      <c r="I7" s="1" t="s">
        <v>16</v>
      </c>
      <c r="J7" s="1" t="s">
        <v>22</v>
      </c>
      <c r="K7" s="1" t="s">
        <v>22</v>
      </c>
      <c r="L7" s="1" t="s">
        <v>16</v>
      </c>
      <c r="M7" s="1">
        <f t="shared" si="2"/>
        <v>2</v>
      </c>
    </row>
    <row r="8" spans="1:13" x14ac:dyDescent="0.2">
      <c r="A8" s="1" t="s">
        <v>12</v>
      </c>
      <c r="B8" s="1" t="str">
        <f t="shared" si="0"/>
        <v>Mission</v>
      </c>
      <c r="C8" s="1" t="str">
        <f t="shared" si="1"/>
        <v>Contributions</v>
      </c>
      <c r="D8" s="1" t="s">
        <v>27</v>
      </c>
      <c r="E8" t="s">
        <v>14</v>
      </c>
      <c r="F8" s="1" t="s">
        <v>28</v>
      </c>
      <c r="G8" s="1" t="s">
        <v>16</v>
      </c>
      <c r="H8" s="1" t="s">
        <v>28</v>
      </c>
      <c r="I8" s="1" t="s">
        <v>16</v>
      </c>
      <c r="J8" s="1" t="s">
        <v>22</v>
      </c>
      <c r="K8" s="1" t="s">
        <v>22</v>
      </c>
      <c r="L8" s="1" t="s">
        <v>16</v>
      </c>
      <c r="M8" s="1">
        <f t="shared" si="2"/>
        <v>3</v>
      </c>
    </row>
    <row r="9" spans="1:13" x14ac:dyDescent="0.2">
      <c r="A9" s="1" t="s">
        <v>12</v>
      </c>
      <c r="B9" s="1" t="str">
        <f t="shared" si="0"/>
        <v>Mission</v>
      </c>
      <c r="C9" s="1" t="str">
        <f t="shared" si="1"/>
        <v>Contributions</v>
      </c>
      <c r="D9" s="1" t="s">
        <v>29</v>
      </c>
      <c r="E9" t="s">
        <v>14</v>
      </c>
      <c r="F9" s="1" t="s">
        <v>28</v>
      </c>
      <c r="G9" s="1" t="s">
        <v>16</v>
      </c>
      <c r="H9" s="1" t="s">
        <v>28</v>
      </c>
      <c r="I9" s="1" t="s">
        <v>16</v>
      </c>
      <c r="J9" s="1" t="s">
        <v>22</v>
      </c>
      <c r="K9" s="1" t="s">
        <v>22</v>
      </c>
      <c r="L9" s="1" t="s">
        <v>16</v>
      </c>
      <c r="M9" s="1">
        <f t="shared" si="2"/>
        <v>3</v>
      </c>
    </row>
    <row r="10" spans="1:13" x14ac:dyDescent="0.2">
      <c r="A10" s="1" t="s">
        <v>12</v>
      </c>
      <c r="B10" s="1" t="str">
        <f t="shared" ref="B10:B74" si="3">F10</f>
        <v>Mission</v>
      </c>
      <c r="C10" s="1" t="str">
        <f t="shared" ref="C10:C74" si="4">G10</f>
        <v>Contributions</v>
      </c>
      <c r="D10" s="1" t="s">
        <v>30</v>
      </c>
      <c r="E10" t="s">
        <v>14</v>
      </c>
      <c r="F10" s="1" t="s">
        <v>28</v>
      </c>
      <c r="G10" s="1" t="s">
        <v>16</v>
      </c>
      <c r="H10" s="1" t="s">
        <v>28</v>
      </c>
      <c r="I10" s="1" t="s">
        <v>16</v>
      </c>
      <c r="J10" s="1" t="s">
        <v>22</v>
      </c>
      <c r="K10" s="1" t="s">
        <v>22</v>
      </c>
      <c r="L10" s="1" t="s">
        <v>16</v>
      </c>
      <c r="M10" s="1">
        <f t="shared" si="2"/>
        <v>3</v>
      </c>
    </row>
    <row r="11" spans="1:13" x14ac:dyDescent="0.2">
      <c r="A11" s="1" t="s">
        <v>12</v>
      </c>
      <c r="B11" s="1" t="str">
        <f t="shared" si="3"/>
        <v>Mission</v>
      </c>
      <c r="C11" s="1" t="str">
        <f t="shared" si="4"/>
        <v>Contributions</v>
      </c>
      <c r="D11" s="1" t="s">
        <v>31</v>
      </c>
      <c r="E11" t="s">
        <v>14</v>
      </c>
      <c r="F11" s="1" t="s">
        <v>28</v>
      </c>
      <c r="G11" s="1" t="s">
        <v>16</v>
      </c>
      <c r="H11" s="1" t="s">
        <v>28</v>
      </c>
      <c r="I11" s="1" t="s">
        <v>16</v>
      </c>
      <c r="J11" s="1" t="s">
        <v>22</v>
      </c>
      <c r="K11" s="1" t="s">
        <v>22</v>
      </c>
      <c r="L11" s="1" t="s">
        <v>16</v>
      </c>
      <c r="M11" s="1">
        <f t="shared" si="2"/>
        <v>3</v>
      </c>
    </row>
    <row r="12" spans="1:13" x14ac:dyDescent="0.2">
      <c r="A12" s="1" t="s">
        <v>12</v>
      </c>
      <c r="B12" s="1" t="str">
        <f t="shared" si="3"/>
        <v>Operations</v>
      </c>
      <c r="C12" s="1" t="str">
        <f t="shared" si="4"/>
        <v>Contributions - pledge</v>
      </c>
      <c r="D12" s="1" t="s">
        <v>32</v>
      </c>
      <c r="E12" s="1" t="s">
        <v>20</v>
      </c>
      <c r="F12" s="1" t="s">
        <v>15</v>
      </c>
      <c r="G12" s="1" t="s">
        <v>21</v>
      </c>
      <c r="H12" s="1" t="s">
        <v>15</v>
      </c>
      <c r="I12" s="1" t="s">
        <v>21</v>
      </c>
      <c r="J12" s="1" t="s">
        <v>22</v>
      </c>
      <c r="K12" s="1" t="s">
        <v>22</v>
      </c>
      <c r="L12" s="1" t="s">
        <v>16</v>
      </c>
      <c r="M12" s="1">
        <f t="shared" si="2"/>
        <v>4</v>
      </c>
    </row>
    <row r="13" spans="1:13" x14ac:dyDescent="0.2">
      <c r="A13" s="1" t="s">
        <v>12</v>
      </c>
      <c r="B13" s="1" t="str">
        <f t="shared" si="3"/>
        <v>Mission</v>
      </c>
      <c r="C13" s="1" t="str">
        <f t="shared" si="4"/>
        <v>Contributions</v>
      </c>
      <c r="D13" s="1" t="s">
        <v>33</v>
      </c>
      <c r="E13" t="s">
        <v>14</v>
      </c>
      <c r="F13" s="1" t="s">
        <v>28</v>
      </c>
      <c r="G13" s="1" t="s">
        <v>16</v>
      </c>
      <c r="H13" s="1" t="s">
        <v>28</v>
      </c>
      <c r="I13" s="1" t="s">
        <v>16</v>
      </c>
      <c r="J13" s="1" t="s">
        <v>22</v>
      </c>
      <c r="K13" s="1" t="s">
        <v>22</v>
      </c>
      <c r="L13" s="1" t="s">
        <v>16</v>
      </c>
      <c r="M13" s="1">
        <f t="shared" si="2"/>
        <v>5</v>
      </c>
    </row>
    <row r="14" spans="1:13" x14ac:dyDescent="0.2">
      <c r="A14" s="1" t="s">
        <v>12</v>
      </c>
      <c r="B14" s="1" t="str">
        <f t="shared" si="3"/>
        <v>Operations</v>
      </c>
      <c r="C14" s="1" t="str">
        <f t="shared" si="4"/>
        <v>Contributions - pledge</v>
      </c>
      <c r="D14" s="1" t="s">
        <v>34</v>
      </c>
      <c r="E14" s="1" t="s">
        <v>20</v>
      </c>
      <c r="F14" s="1" t="s">
        <v>15</v>
      </c>
      <c r="G14" s="1" t="s">
        <v>21</v>
      </c>
      <c r="H14" s="1" t="s">
        <v>15</v>
      </c>
      <c r="I14" s="1" t="s">
        <v>21</v>
      </c>
      <c r="J14" s="1" t="s">
        <v>22</v>
      </c>
      <c r="K14" s="1" t="s">
        <v>22</v>
      </c>
      <c r="L14" s="1" t="s">
        <v>16</v>
      </c>
      <c r="M14" s="1">
        <f t="shared" si="2"/>
        <v>6</v>
      </c>
    </row>
    <row r="15" spans="1:13" x14ac:dyDescent="0.2">
      <c r="A15" s="1" t="s">
        <v>12</v>
      </c>
      <c r="B15" s="1" t="str">
        <f t="shared" si="3"/>
        <v>Mission</v>
      </c>
      <c r="C15" s="1" t="str">
        <f t="shared" si="4"/>
        <v>Contributions</v>
      </c>
      <c r="D15" s="1" t="s">
        <v>35</v>
      </c>
      <c r="E15" t="s">
        <v>14</v>
      </c>
      <c r="F15" s="1" t="s">
        <v>28</v>
      </c>
      <c r="G15" s="1" t="s">
        <v>16</v>
      </c>
      <c r="H15" s="1" t="s">
        <v>28</v>
      </c>
      <c r="I15" s="1" t="s">
        <v>16</v>
      </c>
      <c r="J15" s="1" t="s">
        <v>22</v>
      </c>
      <c r="K15" s="1" t="s">
        <v>22</v>
      </c>
      <c r="L15" s="1" t="s">
        <v>16</v>
      </c>
      <c r="M15" s="1">
        <f t="shared" si="2"/>
        <v>7</v>
      </c>
    </row>
    <row r="16" spans="1:13" x14ac:dyDescent="0.2">
      <c r="A16" s="1" t="s">
        <v>12</v>
      </c>
      <c r="B16" s="1" t="str">
        <f t="shared" si="3"/>
        <v>Operations</v>
      </c>
      <c r="C16" s="1" t="str">
        <f t="shared" si="4"/>
        <v>Contributions</v>
      </c>
      <c r="D16" s="1" t="s">
        <v>36</v>
      </c>
      <c r="E16" s="1" t="s">
        <v>20</v>
      </c>
      <c r="F16" s="1" t="s">
        <v>15</v>
      </c>
      <c r="G16" s="1" t="s">
        <v>16</v>
      </c>
      <c r="H16" s="1" t="s">
        <v>15</v>
      </c>
      <c r="I16" s="1" t="s">
        <v>16</v>
      </c>
      <c r="J16" s="1" t="s">
        <v>22</v>
      </c>
      <c r="K16" s="1" t="s">
        <v>22</v>
      </c>
      <c r="L16" s="1" t="s">
        <v>16</v>
      </c>
      <c r="M16" s="1">
        <f t="shared" si="2"/>
        <v>8</v>
      </c>
    </row>
    <row r="17" spans="1:13" x14ac:dyDescent="0.2">
      <c r="A17" s="1" t="s">
        <v>12</v>
      </c>
      <c r="B17" s="1" t="str">
        <f t="shared" si="3"/>
        <v>Operations</v>
      </c>
      <c r="C17" s="1" t="str">
        <f t="shared" si="4"/>
        <v>Contributions</v>
      </c>
      <c r="D17" s="1" t="s">
        <v>37</v>
      </c>
      <c r="E17" s="1" t="s">
        <v>20</v>
      </c>
      <c r="F17" s="1" t="s">
        <v>15</v>
      </c>
      <c r="G17" s="1" t="s">
        <v>16</v>
      </c>
      <c r="H17" s="1" t="s">
        <v>15</v>
      </c>
      <c r="I17" s="1" t="s">
        <v>16</v>
      </c>
      <c r="J17" s="1" t="s">
        <v>22</v>
      </c>
      <c r="K17" s="1" t="s">
        <v>22</v>
      </c>
      <c r="L17" s="1" t="s">
        <v>16</v>
      </c>
      <c r="M17" s="1">
        <f t="shared" si="2"/>
        <v>8</v>
      </c>
    </row>
    <row r="18" spans="1:13" x14ac:dyDescent="0.2">
      <c r="A18" s="1" t="s">
        <v>12</v>
      </c>
      <c r="B18" s="1" t="str">
        <f t="shared" si="3"/>
        <v>Operations</v>
      </c>
      <c r="C18" s="1" t="str">
        <f t="shared" si="4"/>
        <v>Contributions</v>
      </c>
      <c r="D18" s="1" t="s">
        <v>38</v>
      </c>
      <c r="E18" t="s">
        <v>14</v>
      </c>
      <c r="F18" s="1" t="s">
        <v>15</v>
      </c>
      <c r="G18" s="1" t="s">
        <v>16</v>
      </c>
      <c r="H18" s="1" t="s">
        <v>15</v>
      </c>
      <c r="I18" s="1" t="s">
        <v>16</v>
      </c>
      <c r="J18" s="1" t="s">
        <v>22</v>
      </c>
      <c r="K18" s="1" t="s">
        <v>22</v>
      </c>
      <c r="L18" s="1" t="s">
        <v>16</v>
      </c>
      <c r="M18" s="1">
        <f t="shared" si="2"/>
        <v>8</v>
      </c>
    </row>
    <row r="19" spans="1:13" x14ac:dyDescent="0.2">
      <c r="A19" s="1" t="s">
        <v>12</v>
      </c>
      <c r="B19" s="1" t="str">
        <f t="shared" si="3"/>
        <v>Designated</v>
      </c>
      <c r="C19" s="1" t="str">
        <f t="shared" si="4"/>
        <v>Contributions</v>
      </c>
      <c r="D19" t="s">
        <v>39</v>
      </c>
      <c r="E19" t="s">
        <v>14</v>
      </c>
      <c r="F19" s="1" t="s">
        <v>40</v>
      </c>
      <c r="G19" s="1" t="s">
        <v>16</v>
      </c>
      <c r="H19" s="1" t="s">
        <v>40</v>
      </c>
      <c r="I19" s="1" t="s">
        <v>16</v>
      </c>
      <c r="J19" s="1" t="s">
        <v>22</v>
      </c>
      <c r="K19" s="1" t="s">
        <v>22</v>
      </c>
      <c r="L19" s="1" t="s">
        <v>16</v>
      </c>
      <c r="M19" s="1">
        <f t="shared" si="2"/>
        <v>9</v>
      </c>
    </row>
    <row r="20" spans="1:13" x14ac:dyDescent="0.2">
      <c r="A20" s="1" t="s">
        <v>12</v>
      </c>
      <c r="B20" s="1" t="str">
        <f t="shared" si="3"/>
        <v>Operations</v>
      </c>
      <c r="C20" s="1" t="str">
        <f t="shared" si="4"/>
        <v>Checking</v>
      </c>
      <c r="D20" s="4" t="s">
        <v>41</v>
      </c>
      <c r="E20" s="1" t="s">
        <v>20</v>
      </c>
      <c r="F20" s="1" t="s">
        <v>15</v>
      </c>
      <c r="G20" s="1" t="s">
        <v>42</v>
      </c>
      <c r="H20" s="1" t="s">
        <v>15</v>
      </c>
      <c r="I20" s="1" t="s">
        <v>42</v>
      </c>
      <c r="J20" s="1" t="s">
        <v>43</v>
      </c>
      <c r="K20" s="1" t="s">
        <v>43</v>
      </c>
      <c r="L20" s="1" t="s">
        <v>44</v>
      </c>
      <c r="M20" s="1">
        <f t="shared" si="2"/>
        <v>10</v>
      </c>
    </row>
    <row r="21" spans="1:13" x14ac:dyDescent="0.2">
      <c r="A21" s="1" t="s">
        <v>12</v>
      </c>
      <c r="B21" s="1" t="str">
        <f t="shared" si="3"/>
        <v>Operations</v>
      </c>
      <c r="C21" s="1" t="str">
        <f t="shared" si="4"/>
        <v>Endowment</v>
      </c>
      <c r="D21" s="4" t="s">
        <v>45</v>
      </c>
      <c r="E21" s="1" t="s">
        <v>20</v>
      </c>
      <c r="F21" s="1" t="s">
        <v>15</v>
      </c>
      <c r="G21" s="1" t="s">
        <v>46</v>
      </c>
      <c r="H21" s="1" t="s">
        <v>15</v>
      </c>
      <c r="I21" s="1" t="s">
        <v>46</v>
      </c>
      <c r="J21" s="1" t="s">
        <v>43</v>
      </c>
      <c r="K21" s="1" t="s">
        <v>43</v>
      </c>
      <c r="L21" s="1" t="s">
        <v>44</v>
      </c>
      <c r="M21" s="1">
        <f t="shared" si="2"/>
        <v>10</v>
      </c>
    </row>
    <row r="22" spans="1:13" x14ac:dyDescent="0.2">
      <c r="A22" s="1" t="s">
        <v>12</v>
      </c>
      <c r="B22" s="1" t="str">
        <f t="shared" si="3"/>
        <v>Operations</v>
      </c>
      <c r="C22" s="1" t="str">
        <f t="shared" si="4"/>
        <v>Schermerhorn and Birch Funds</v>
      </c>
      <c r="D22" s="4" t="s">
        <v>47</v>
      </c>
      <c r="E22" s="1" t="s">
        <v>20</v>
      </c>
      <c r="F22" s="1" t="s">
        <v>15</v>
      </c>
      <c r="G22" s="1" t="s">
        <v>48</v>
      </c>
      <c r="H22" s="1" t="s">
        <v>15</v>
      </c>
      <c r="I22" s="1" t="s">
        <v>48</v>
      </c>
      <c r="J22" s="1" t="s">
        <v>43</v>
      </c>
      <c r="K22" s="1" t="s">
        <v>43</v>
      </c>
      <c r="L22" s="1" t="s">
        <v>44</v>
      </c>
      <c r="M22" s="1">
        <f t="shared" si="2"/>
        <v>10</v>
      </c>
    </row>
    <row r="23" spans="1:13" x14ac:dyDescent="0.2">
      <c r="A23" s="1" t="s">
        <v>12</v>
      </c>
      <c r="B23" s="1" t="str">
        <f t="shared" si="3"/>
        <v>Operations</v>
      </c>
      <c r="C23" s="1" t="str">
        <f t="shared" si="4"/>
        <v>Schermerhorn and Birch Funds</v>
      </c>
      <c r="D23" s="4" t="s">
        <v>49</v>
      </c>
      <c r="E23" s="1" t="s">
        <v>20</v>
      </c>
      <c r="F23" s="1" t="s">
        <v>15</v>
      </c>
      <c r="G23" s="1" t="s">
        <v>48</v>
      </c>
      <c r="H23" s="1" t="s">
        <v>15</v>
      </c>
      <c r="I23" s="1" t="s">
        <v>48</v>
      </c>
      <c r="J23" s="1" t="s">
        <v>43</v>
      </c>
      <c r="K23" s="1" t="s">
        <v>43</v>
      </c>
      <c r="L23" s="1" t="s">
        <v>44</v>
      </c>
      <c r="M23" s="1">
        <f t="shared" si="2"/>
        <v>10</v>
      </c>
    </row>
    <row r="24" spans="1:13" x14ac:dyDescent="0.2">
      <c r="A24" s="1" t="s">
        <v>12</v>
      </c>
      <c r="B24" s="1" t="str">
        <f t="shared" si="3"/>
        <v>Mission</v>
      </c>
      <c r="C24" s="1" t="str">
        <f t="shared" si="4"/>
        <v>UP Mission Fund</v>
      </c>
      <c r="D24" s="4" t="s">
        <v>50</v>
      </c>
      <c r="E24" s="1" t="s">
        <v>51</v>
      </c>
      <c r="F24" s="1" t="s">
        <v>28</v>
      </c>
      <c r="G24" s="1" t="s">
        <v>51</v>
      </c>
      <c r="H24" s="1" t="s">
        <v>28</v>
      </c>
      <c r="I24" s="1" t="s">
        <v>51</v>
      </c>
      <c r="J24" s="1" t="s">
        <v>43</v>
      </c>
      <c r="K24" s="1" t="s">
        <v>43</v>
      </c>
      <c r="L24" s="1" t="s">
        <v>44</v>
      </c>
      <c r="M24" s="1">
        <f t="shared" si="2"/>
        <v>11</v>
      </c>
    </row>
    <row r="25" spans="1:13" x14ac:dyDescent="0.2">
      <c r="A25" s="1" t="s">
        <v>12</v>
      </c>
      <c r="B25" s="1" t="str">
        <f t="shared" si="3"/>
        <v>Mission</v>
      </c>
      <c r="C25" s="1" t="str">
        <f t="shared" si="4"/>
        <v>UP Mission Fund</v>
      </c>
      <c r="D25" s="5" t="s">
        <v>52</v>
      </c>
      <c r="E25" s="1" t="s">
        <v>51</v>
      </c>
      <c r="F25" s="1" t="s">
        <v>28</v>
      </c>
      <c r="G25" s="1" t="s">
        <v>51</v>
      </c>
      <c r="H25" s="1" t="s">
        <v>28</v>
      </c>
      <c r="I25" s="1" t="s">
        <v>51</v>
      </c>
      <c r="J25" s="1" t="s">
        <v>43</v>
      </c>
      <c r="K25" s="1" t="s">
        <v>43</v>
      </c>
      <c r="L25" s="1" t="s">
        <v>44</v>
      </c>
      <c r="M25" s="1">
        <f t="shared" si="2"/>
        <v>11</v>
      </c>
    </row>
    <row r="26" spans="1:13" x14ac:dyDescent="0.2">
      <c r="A26" s="1" t="s">
        <v>12</v>
      </c>
      <c r="B26" s="1" t="str">
        <f t="shared" si="3"/>
        <v>Education, Music, &amp; Arts</v>
      </c>
      <c r="C26" s="1" t="str">
        <f t="shared" si="4"/>
        <v>Tercentenary Fund</v>
      </c>
      <c r="D26" s="4" t="s">
        <v>53</v>
      </c>
      <c r="E26" s="4" t="s">
        <v>54</v>
      </c>
      <c r="F26" s="1" t="s">
        <v>25</v>
      </c>
      <c r="G26" s="1" t="s">
        <v>54</v>
      </c>
      <c r="H26" s="1" t="s">
        <v>25</v>
      </c>
      <c r="I26" s="1" t="s">
        <v>54</v>
      </c>
      <c r="J26" s="1" t="s">
        <v>43</v>
      </c>
      <c r="K26" s="1" t="s">
        <v>43</v>
      </c>
      <c r="L26" s="1" t="s">
        <v>44</v>
      </c>
      <c r="M26" s="1">
        <f t="shared" si="2"/>
        <v>12</v>
      </c>
    </row>
    <row r="27" spans="1:13" x14ac:dyDescent="0.2">
      <c r="A27" s="1" t="s">
        <v>12</v>
      </c>
      <c r="B27" s="1" t="str">
        <f t="shared" si="3"/>
        <v>Operations</v>
      </c>
      <c r="C27" s="1" t="str">
        <f t="shared" si="4"/>
        <v>Covenant Fund</v>
      </c>
      <c r="D27" s="4" t="s">
        <v>55</v>
      </c>
      <c r="E27" s="1" t="s">
        <v>56</v>
      </c>
      <c r="F27" s="1" t="s">
        <v>15</v>
      </c>
      <c r="G27" s="1" t="s">
        <v>57</v>
      </c>
      <c r="H27" s="1" t="s">
        <v>15</v>
      </c>
      <c r="I27" s="1" t="s">
        <v>57</v>
      </c>
      <c r="J27" s="1" t="s">
        <v>58</v>
      </c>
      <c r="K27" s="1" t="s">
        <v>58</v>
      </c>
      <c r="L27" s="1" t="s">
        <v>44</v>
      </c>
      <c r="M27" s="1">
        <f t="shared" si="2"/>
        <v>13</v>
      </c>
    </row>
    <row r="28" spans="1:13" x14ac:dyDescent="0.2">
      <c r="A28" s="1" t="s">
        <v>12</v>
      </c>
      <c r="B28" s="1" t="str">
        <f t="shared" si="3"/>
        <v>Mission</v>
      </c>
      <c r="C28" s="1" t="str">
        <f t="shared" si="4"/>
        <v>Covenant Fund</v>
      </c>
      <c r="D28" s="1" t="s">
        <v>59</v>
      </c>
      <c r="E28" s="1" t="s">
        <v>57</v>
      </c>
      <c r="F28" s="1" t="s">
        <v>28</v>
      </c>
      <c r="G28" s="1" t="s">
        <v>57</v>
      </c>
      <c r="H28" s="1" t="s">
        <v>28</v>
      </c>
      <c r="I28" s="1" t="s">
        <v>57</v>
      </c>
      <c r="J28" s="1" t="s">
        <v>58</v>
      </c>
      <c r="K28" s="1" t="s">
        <v>58</v>
      </c>
      <c r="L28" s="1" t="s">
        <v>44</v>
      </c>
      <c r="M28" s="1">
        <f t="shared" si="2"/>
        <v>14</v>
      </c>
    </row>
    <row r="29" spans="1:13" x14ac:dyDescent="0.2">
      <c r="A29" s="1" t="s">
        <v>12</v>
      </c>
      <c r="B29" s="1" t="str">
        <f t="shared" si="3"/>
        <v>Mission</v>
      </c>
      <c r="C29" s="1" t="str">
        <f t="shared" si="4"/>
        <v>Covenant Fund</v>
      </c>
      <c r="D29" s="4" t="s">
        <v>60</v>
      </c>
      <c r="E29" s="1" t="s">
        <v>57</v>
      </c>
      <c r="F29" s="1" t="s">
        <v>28</v>
      </c>
      <c r="G29" s="1" t="s">
        <v>57</v>
      </c>
      <c r="H29" s="1" t="s">
        <v>28</v>
      </c>
      <c r="I29" s="1" t="s">
        <v>57</v>
      </c>
      <c r="J29" s="1" t="s">
        <v>58</v>
      </c>
      <c r="K29" s="1" t="s">
        <v>58</v>
      </c>
      <c r="L29" s="1" t="s">
        <v>44</v>
      </c>
      <c r="M29" s="1">
        <f t="shared" si="2"/>
        <v>14</v>
      </c>
    </row>
    <row r="30" spans="1:13" x14ac:dyDescent="0.2">
      <c r="A30" s="1" t="s">
        <v>12</v>
      </c>
      <c r="B30" s="1" t="str">
        <f t="shared" si="3"/>
        <v>Operations</v>
      </c>
      <c r="C30" s="1" t="str">
        <f t="shared" si="4"/>
        <v>Other income</v>
      </c>
      <c r="D30" s="1" t="s">
        <v>61</v>
      </c>
      <c r="E30" s="1" t="s">
        <v>20</v>
      </c>
      <c r="F30" s="1" t="s">
        <v>15</v>
      </c>
      <c r="G30" s="1" t="s">
        <v>62</v>
      </c>
      <c r="H30" s="1" t="s">
        <v>15</v>
      </c>
      <c r="I30" s="1" t="s">
        <v>62</v>
      </c>
      <c r="J30" s="1" t="s">
        <v>63</v>
      </c>
      <c r="K30" s="1" t="s">
        <v>63</v>
      </c>
      <c r="L30" s="1" t="s">
        <v>62</v>
      </c>
      <c r="M30" s="1">
        <f t="shared" si="2"/>
        <v>15</v>
      </c>
    </row>
    <row r="31" spans="1:13" x14ac:dyDescent="0.2">
      <c r="A31" s="1" t="s">
        <v>12</v>
      </c>
      <c r="B31" s="1" t="str">
        <f t="shared" si="3"/>
        <v>Operations</v>
      </c>
      <c r="C31" s="1" t="str">
        <f t="shared" si="4"/>
        <v>Other income</v>
      </c>
      <c r="D31" s="1" t="s">
        <v>64</v>
      </c>
      <c r="E31" s="1" t="s">
        <v>20</v>
      </c>
      <c r="F31" s="1" t="s">
        <v>15</v>
      </c>
      <c r="G31" s="1" t="s">
        <v>62</v>
      </c>
      <c r="H31" s="1" t="s">
        <v>15</v>
      </c>
      <c r="I31" s="1" t="s">
        <v>62</v>
      </c>
      <c r="J31" s="1" t="s">
        <v>63</v>
      </c>
      <c r="K31" s="1" t="s">
        <v>63</v>
      </c>
      <c r="L31" s="1" t="s">
        <v>62</v>
      </c>
      <c r="M31" s="1">
        <f t="shared" si="2"/>
        <v>15</v>
      </c>
    </row>
    <row r="32" spans="1:13" x14ac:dyDescent="0.2">
      <c r="A32" s="1" t="s">
        <v>12</v>
      </c>
      <c r="B32" s="1" t="str">
        <f t="shared" si="3"/>
        <v>Operations</v>
      </c>
      <c r="C32" s="1" t="str">
        <f t="shared" si="4"/>
        <v>Other income</v>
      </c>
      <c r="D32" s="1" t="s">
        <v>65</v>
      </c>
      <c r="E32" s="1" t="s">
        <v>20</v>
      </c>
      <c r="F32" s="1" t="s">
        <v>15</v>
      </c>
      <c r="G32" s="1" t="s">
        <v>62</v>
      </c>
      <c r="H32" s="1" t="s">
        <v>15</v>
      </c>
      <c r="I32" s="1" t="s">
        <v>62</v>
      </c>
      <c r="J32" s="1" t="s">
        <v>63</v>
      </c>
      <c r="K32" s="1" t="s">
        <v>63</v>
      </c>
      <c r="L32" s="1" t="s">
        <v>62</v>
      </c>
      <c r="M32" s="1">
        <f t="shared" si="2"/>
        <v>15</v>
      </c>
    </row>
    <row r="33" spans="1:13" x14ac:dyDescent="0.2">
      <c r="A33" s="1" t="s">
        <v>12</v>
      </c>
      <c r="B33" s="1" t="str">
        <f t="shared" si="3"/>
        <v>Operations</v>
      </c>
      <c r="C33" s="1" t="str">
        <f t="shared" si="4"/>
        <v>Other income</v>
      </c>
      <c r="D33" t="s">
        <v>66</v>
      </c>
      <c r="E33" t="s">
        <v>14</v>
      </c>
      <c r="F33" s="1" t="s">
        <v>15</v>
      </c>
      <c r="G33" s="1" t="s">
        <v>62</v>
      </c>
      <c r="H33" s="1" t="s">
        <v>15</v>
      </c>
      <c r="I33" s="1" t="s">
        <v>62</v>
      </c>
      <c r="J33" s="1" t="s">
        <v>63</v>
      </c>
      <c r="K33" s="1" t="s">
        <v>63</v>
      </c>
      <c r="L33" s="1" t="s">
        <v>62</v>
      </c>
      <c r="M33" s="1">
        <f t="shared" si="2"/>
        <v>15</v>
      </c>
    </row>
    <row r="34" spans="1:13" x14ac:dyDescent="0.2">
      <c r="A34" s="1" t="s">
        <v>12</v>
      </c>
      <c r="B34" s="1" t="str">
        <f t="shared" si="3"/>
        <v>Operations</v>
      </c>
      <c r="C34" s="1" t="str">
        <f t="shared" si="4"/>
        <v>Other income</v>
      </c>
      <c r="D34" s="1" t="s">
        <v>67</v>
      </c>
      <c r="E34" s="1" t="s">
        <v>68</v>
      </c>
      <c r="F34" s="1" t="s">
        <v>15</v>
      </c>
      <c r="G34" s="1" t="s">
        <v>62</v>
      </c>
      <c r="H34" s="1" t="s">
        <v>15</v>
      </c>
      <c r="I34" s="1" t="s">
        <v>62</v>
      </c>
      <c r="J34" s="1" t="s">
        <v>63</v>
      </c>
      <c r="K34" s="1" t="s">
        <v>63</v>
      </c>
      <c r="L34" s="1" t="s">
        <v>62</v>
      </c>
      <c r="M34" s="1">
        <f t="shared" ref="M34:M66" si="5">IF(B34=B33,M33,M33+1)</f>
        <v>15</v>
      </c>
    </row>
    <row r="35" spans="1:13" x14ac:dyDescent="0.2">
      <c r="A35" s="1" t="s">
        <v>12</v>
      </c>
      <c r="B35" s="1" t="str">
        <f t="shared" si="3"/>
        <v>Operations</v>
      </c>
      <c r="C35" s="1" t="str">
        <f t="shared" si="4"/>
        <v>Other income</v>
      </c>
      <c r="D35" t="s">
        <v>69</v>
      </c>
      <c r="E35" t="s">
        <v>14</v>
      </c>
      <c r="F35" s="1" t="s">
        <v>15</v>
      </c>
      <c r="G35" s="1" t="s">
        <v>62</v>
      </c>
      <c r="H35" s="1" t="s">
        <v>15</v>
      </c>
      <c r="I35" s="1" t="s">
        <v>62</v>
      </c>
      <c r="J35" s="1" t="s">
        <v>63</v>
      </c>
      <c r="K35" s="1" t="s">
        <v>63</v>
      </c>
      <c r="L35" s="1" t="s">
        <v>62</v>
      </c>
      <c r="M35" s="1">
        <f t="shared" si="5"/>
        <v>15</v>
      </c>
    </row>
    <row r="36" spans="1:13" x14ac:dyDescent="0.2">
      <c r="A36" s="1" t="s">
        <v>12</v>
      </c>
      <c r="B36" s="1" t="str">
        <f t="shared" si="3"/>
        <v>Operations</v>
      </c>
      <c r="C36" s="1" t="str">
        <f t="shared" si="4"/>
        <v>Checking</v>
      </c>
      <c r="D36" t="s">
        <v>70</v>
      </c>
      <c r="E36" s="1" t="s">
        <v>20</v>
      </c>
      <c r="F36" s="1" t="s">
        <v>15</v>
      </c>
      <c r="G36" s="1" t="s">
        <v>42</v>
      </c>
      <c r="H36" s="1" t="s">
        <v>15</v>
      </c>
      <c r="I36" s="1" t="s">
        <v>42</v>
      </c>
      <c r="J36" s="1" t="s">
        <v>63</v>
      </c>
      <c r="K36" s="1" t="s">
        <v>71</v>
      </c>
      <c r="L36" s="1" t="s">
        <v>44</v>
      </c>
      <c r="M36" s="1">
        <f t="shared" si="5"/>
        <v>15</v>
      </c>
    </row>
    <row r="37" spans="1:13" x14ac:dyDescent="0.2">
      <c r="A37" s="1" t="s">
        <v>72</v>
      </c>
      <c r="B37" s="1" t="str">
        <f t="shared" ref="B37" si="6">F37</f>
        <v>Personnel</v>
      </c>
      <c r="C37" s="1" t="str">
        <f t="shared" ref="C37" si="7">G37</f>
        <v>Sr. Pastor</v>
      </c>
      <c r="D37" s="13" t="s">
        <v>337</v>
      </c>
      <c r="E37" s="1" t="s">
        <v>20</v>
      </c>
      <c r="F37" s="1" t="s">
        <v>74</v>
      </c>
      <c r="G37" s="1" t="s">
        <v>75</v>
      </c>
      <c r="H37" s="1" t="s">
        <v>74</v>
      </c>
      <c r="I37" s="1" t="s">
        <v>75</v>
      </c>
      <c r="J37" s="1" t="s">
        <v>76</v>
      </c>
      <c r="K37" s="1" t="s">
        <v>77</v>
      </c>
      <c r="L37" s="1" t="s">
        <v>74</v>
      </c>
      <c r="M37" s="1">
        <f>IF(B37=B35,M35,M35+1)</f>
        <v>16</v>
      </c>
    </row>
    <row r="38" spans="1:13" x14ac:dyDescent="0.2">
      <c r="A38" s="1" t="s">
        <v>72</v>
      </c>
      <c r="B38" s="1" t="str">
        <f t="shared" si="3"/>
        <v>Personnel</v>
      </c>
      <c r="C38" s="1" t="str">
        <f t="shared" si="4"/>
        <v>Sr. Pastor</v>
      </c>
      <c r="D38" s="1" t="s">
        <v>73</v>
      </c>
      <c r="E38" s="1" t="s">
        <v>20</v>
      </c>
      <c r="F38" s="1" t="s">
        <v>74</v>
      </c>
      <c r="G38" s="1" t="s">
        <v>75</v>
      </c>
      <c r="H38" s="1" t="s">
        <v>74</v>
      </c>
      <c r="I38" s="1" t="s">
        <v>75</v>
      </c>
      <c r="J38" s="1" t="s">
        <v>76</v>
      </c>
      <c r="K38" s="1" t="s">
        <v>77</v>
      </c>
      <c r="L38" s="1" t="s">
        <v>74</v>
      </c>
      <c r="M38" s="1">
        <f>IF(B38=B36,M36,M36+1)</f>
        <v>16</v>
      </c>
    </row>
    <row r="39" spans="1:13" x14ac:dyDescent="0.2">
      <c r="A39" s="1" t="s">
        <v>72</v>
      </c>
      <c r="B39" s="1" t="str">
        <f t="shared" si="3"/>
        <v>Personnel</v>
      </c>
      <c r="C39" s="1" t="str">
        <f t="shared" si="4"/>
        <v>Sr. Pastor</v>
      </c>
      <c r="D39" s="1" t="s">
        <v>78</v>
      </c>
      <c r="E39" s="1" t="s">
        <v>20</v>
      </c>
      <c r="F39" s="1" t="s">
        <v>74</v>
      </c>
      <c r="G39" s="1" t="s">
        <v>75</v>
      </c>
      <c r="H39" s="1" t="s">
        <v>74</v>
      </c>
      <c r="I39" s="1" t="s">
        <v>75</v>
      </c>
      <c r="J39" s="1" t="s">
        <v>76</v>
      </c>
      <c r="K39" s="1" t="s">
        <v>77</v>
      </c>
      <c r="L39" s="1" t="s">
        <v>74</v>
      </c>
      <c r="M39" s="1">
        <f t="shared" si="5"/>
        <v>16</v>
      </c>
    </row>
    <row r="40" spans="1:13" x14ac:dyDescent="0.2">
      <c r="A40" s="1" t="s">
        <v>72</v>
      </c>
      <c r="B40" s="1" t="str">
        <f t="shared" si="3"/>
        <v>Personnel</v>
      </c>
      <c r="C40" s="1" t="str">
        <f t="shared" si="4"/>
        <v>Sr. Pastor</v>
      </c>
      <c r="D40" s="1" t="s">
        <v>79</v>
      </c>
      <c r="E40" s="1" t="s">
        <v>20</v>
      </c>
      <c r="F40" s="1" t="s">
        <v>74</v>
      </c>
      <c r="G40" s="1" t="s">
        <v>75</v>
      </c>
      <c r="H40" s="1" t="s">
        <v>74</v>
      </c>
      <c r="I40" s="1" t="s">
        <v>75</v>
      </c>
      <c r="J40" s="1" t="s">
        <v>76</v>
      </c>
      <c r="K40" s="1" t="s">
        <v>77</v>
      </c>
      <c r="L40" s="1" t="s">
        <v>74</v>
      </c>
      <c r="M40" s="1">
        <f t="shared" si="5"/>
        <v>16</v>
      </c>
    </row>
    <row r="41" spans="1:13" x14ac:dyDescent="0.2">
      <c r="A41" s="1" t="s">
        <v>72</v>
      </c>
      <c r="B41" s="1" t="str">
        <f t="shared" si="3"/>
        <v>Personnel</v>
      </c>
      <c r="C41" s="1" t="str">
        <f t="shared" si="4"/>
        <v>Sr. Pastor</v>
      </c>
      <c r="D41" s="1" t="s">
        <v>80</v>
      </c>
      <c r="E41" s="1" t="s">
        <v>20</v>
      </c>
      <c r="F41" s="1" t="s">
        <v>74</v>
      </c>
      <c r="G41" s="1" t="s">
        <v>75</v>
      </c>
      <c r="H41" s="1" t="s">
        <v>74</v>
      </c>
      <c r="I41" s="1" t="s">
        <v>75</v>
      </c>
      <c r="J41" s="1" t="s">
        <v>76</v>
      </c>
      <c r="K41" s="1" t="s">
        <v>77</v>
      </c>
      <c r="L41" s="1" t="s">
        <v>74</v>
      </c>
      <c r="M41" s="1">
        <f t="shared" si="5"/>
        <v>16</v>
      </c>
    </row>
    <row r="42" spans="1:13" x14ac:dyDescent="0.2">
      <c r="A42" s="1" t="s">
        <v>72</v>
      </c>
      <c r="B42" s="1" t="str">
        <f t="shared" si="3"/>
        <v>Personnel</v>
      </c>
      <c r="C42" s="1" t="str">
        <f t="shared" si="4"/>
        <v>Sr. Pastor</v>
      </c>
      <c r="D42" s="1" t="s">
        <v>81</v>
      </c>
      <c r="E42" s="1" t="s">
        <v>20</v>
      </c>
      <c r="F42" s="1" t="s">
        <v>74</v>
      </c>
      <c r="G42" s="1" t="s">
        <v>75</v>
      </c>
      <c r="H42" s="1" t="s">
        <v>74</v>
      </c>
      <c r="I42" s="1" t="s">
        <v>75</v>
      </c>
      <c r="J42" s="1" t="s">
        <v>76</v>
      </c>
      <c r="K42" s="1" t="s">
        <v>77</v>
      </c>
      <c r="L42" s="1" t="s">
        <v>74</v>
      </c>
      <c r="M42" s="1">
        <f t="shared" si="5"/>
        <v>16</v>
      </c>
    </row>
    <row r="43" spans="1:13" x14ac:dyDescent="0.2">
      <c r="A43" s="1" t="s">
        <v>72</v>
      </c>
      <c r="B43" s="1" t="str">
        <f t="shared" si="3"/>
        <v>Personnel</v>
      </c>
      <c r="C43" s="1" t="str">
        <f t="shared" si="4"/>
        <v>Sr. Pastor</v>
      </c>
      <c r="D43" s="1" t="s">
        <v>82</v>
      </c>
      <c r="E43" s="1" t="s">
        <v>20</v>
      </c>
      <c r="F43" s="1" t="s">
        <v>74</v>
      </c>
      <c r="G43" s="1" t="s">
        <v>75</v>
      </c>
      <c r="H43" s="1" t="s">
        <v>74</v>
      </c>
      <c r="I43" s="1" t="s">
        <v>75</v>
      </c>
      <c r="J43" s="1" t="s">
        <v>76</v>
      </c>
      <c r="K43" s="1" t="s">
        <v>77</v>
      </c>
      <c r="L43" s="1" t="s">
        <v>74</v>
      </c>
      <c r="M43" s="1">
        <f t="shared" si="5"/>
        <v>16</v>
      </c>
    </row>
    <row r="44" spans="1:13" x14ac:dyDescent="0.2">
      <c r="A44" s="1" t="s">
        <v>72</v>
      </c>
      <c r="B44" s="1" t="str">
        <f t="shared" si="3"/>
        <v>Education, Music, &amp; Arts</v>
      </c>
      <c r="C44" s="1" t="str">
        <f t="shared" si="4"/>
        <v>Personnel - Education</v>
      </c>
      <c r="D44" s="1" t="s">
        <v>83</v>
      </c>
      <c r="E44" s="4" t="s">
        <v>54</v>
      </c>
      <c r="F44" s="1" t="s">
        <v>25</v>
      </c>
      <c r="G44" s="1" t="s">
        <v>84</v>
      </c>
      <c r="H44" s="1" t="s">
        <v>25</v>
      </c>
      <c r="I44" s="1" t="s">
        <v>84</v>
      </c>
      <c r="J44" s="1" t="s">
        <v>76</v>
      </c>
      <c r="K44" s="1" t="s">
        <v>77</v>
      </c>
      <c r="L44" s="1" t="s">
        <v>74</v>
      </c>
      <c r="M44" s="1">
        <f t="shared" si="5"/>
        <v>17</v>
      </c>
    </row>
    <row r="45" spans="1:13" x14ac:dyDescent="0.2">
      <c r="A45" s="1" t="s">
        <v>72</v>
      </c>
      <c r="B45" s="1" t="str">
        <f t="shared" si="3"/>
        <v>Personnel</v>
      </c>
      <c r="C45" s="1" t="str">
        <f t="shared" si="4"/>
        <v>Sr. Pastor</v>
      </c>
      <c r="D45" s="1" t="s">
        <v>85</v>
      </c>
      <c r="E45" s="1" t="s">
        <v>20</v>
      </c>
      <c r="F45" s="1" t="s">
        <v>74</v>
      </c>
      <c r="G45" s="1" t="s">
        <v>75</v>
      </c>
      <c r="H45" s="1" t="s">
        <v>74</v>
      </c>
      <c r="I45" s="1" t="s">
        <v>75</v>
      </c>
      <c r="J45" s="1" t="s">
        <v>76</v>
      </c>
      <c r="K45" s="1" t="s">
        <v>77</v>
      </c>
      <c r="L45" s="1" t="s">
        <v>74</v>
      </c>
      <c r="M45" s="1">
        <f t="shared" si="5"/>
        <v>18</v>
      </c>
    </row>
    <row r="46" spans="1:13" x14ac:dyDescent="0.2">
      <c r="A46" s="1" t="s">
        <v>72</v>
      </c>
      <c r="B46" s="1" t="str">
        <f t="shared" si="3"/>
        <v>Personnel</v>
      </c>
      <c r="C46" s="1" t="str">
        <f t="shared" si="4"/>
        <v>Pastoral Search</v>
      </c>
      <c r="D46" t="s">
        <v>86</v>
      </c>
      <c r="E46" s="1" t="s">
        <v>20</v>
      </c>
      <c r="F46" s="1" t="s">
        <v>74</v>
      </c>
      <c r="G46" s="1" t="s">
        <v>87</v>
      </c>
      <c r="H46" s="1" t="s">
        <v>74</v>
      </c>
      <c r="I46" s="1" t="s">
        <v>87</v>
      </c>
      <c r="J46" s="1" t="s">
        <v>76</v>
      </c>
      <c r="K46" s="1" t="s">
        <v>88</v>
      </c>
      <c r="L46" s="1" t="s">
        <v>74</v>
      </c>
      <c r="M46" s="1">
        <f t="shared" si="5"/>
        <v>18</v>
      </c>
    </row>
    <row r="47" spans="1:13" x14ac:dyDescent="0.2">
      <c r="A47" s="1" t="s">
        <v>72</v>
      </c>
      <c r="B47" s="1" t="str">
        <f t="shared" si="3"/>
        <v>Personnel</v>
      </c>
      <c r="C47" s="1" t="str">
        <f t="shared" si="4"/>
        <v>Music</v>
      </c>
      <c r="D47" s="1" t="s">
        <v>89</v>
      </c>
      <c r="E47" s="1" t="s">
        <v>20</v>
      </c>
      <c r="F47" s="1" t="s">
        <v>74</v>
      </c>
      <c r="G47" s="1" t="s">
        <v>90</v>
      </c>
      <c r="H47" s="1" t="s">
        <v>74</v>
      </c>
      <c r="I47" s="1" t="s">
        <v>90</v>
      </c>
      <c r="J47" s="1" t="s">
        <v>76</v>
      </c>
      <c r="K47" s="1" t="s">
        <v>91</v>
      </c>
      <c r="L47" s="1" t="s">
        <v>74</v>
      </c>
      <c r="M47" s="1">
        <f t="shared" si="5"/>
        <v>18</v>
      </c>
    </row>
    <row r="48" spans="1:13" x14ac:dyDescent="0.2">
      <c r="A48" s="1" t="s">
        <v>72</v>
      </c>
      <c r="B48" s="1" t="str">
        <f t="shared" si="3"/>
        <v>Personnel</v>
      </c>
      <c r="C48" s="1" t="str">
        <f t="shared" si="4"/>
        <v>Music</v>
      </c>
      <c r="D48" s="1" t="s">
        <v>92</v>
      </c>
      <c r="E48" s="1" t="s">
        <v>20</v>
      </c>
      <c r="F48" s="1" t="s">
        <v>74</v>
      </c>
      <c r="G48" s="1" t="s">
        <v>90</v>
      </c>
      <c r="H48" s="1" t="s">
        <v>74</v>
      </c>
      <c r="I48" s="1" t="s">
        <v>90</v>
      </c>
      <c r="J48" s="1" t="s">
        <v>76</v>
      </c>
      <c r="K48" s="1" t="s">
        <v>91</v>
      </c>
      <c r="L48" s="1" t="s">
        <v>74</v>
      </c>
      <c r="M48" s="1">
        <f t="shared" si="5"/>
        <v>18</v>
      </c>
    </row>
    <row r="49" spans="1:13" x14ac:dyDescent="0.2">
      <c r="A49" s="1" t="s">
        <v>72</v>
      </c>
      <c r="B49" s="1" t="str">
        <f t="shared" si="3"/>
        <v>Operations</v>
      </c>
      <c r="C49" s="1" t="str">
        <f t="shared" si="4"/>
        <v>Worship &amp; Arts</v>
      </c>
      <c r="D49" s="1" t="s">
        <v>93</v>
      </c>
      <c r="E49" s="1" t="s">
        <v>20</v>
      </c>
      <c r="F49" s="1" t="s">
        <v>15</v>
      </c>
      <c r="G49" s="1" t="s">
        <v>94</v>
      </c>
      <c r="H49" s="1" t="s">
        <v>15</v>
      </c>
      <c r="I49" s="1" t="s">
        <v>95</v>
      </c>
      <c r="J49" s="1" t="s">
        <v>76</v>
      </c>
      <c r="K49" s="1" t="s">
        <v>88</v>
      </c>
      <c r="L49" s="1" t="s">
        <v>15</v>
      </c>
      <c r="M49" s="1">
        <f t="shared" si="5"/>
        <v>19</v>
      </c>
    </row>
    <row r="50" spans="1:13" x14ac:dyDescent="0.2">
      <c r="A50" s="1" t="s">
        <v>72</v>
      </c>
      <c r="B50" s="1" t="str">
        <f t="shared" si="3"/>
        <v>Operations</v>
      </c>
      <c r="C50" s="1" t="str">
        <f t="shared" si="4"/>
        <v>Worship &amp; Arts</v>
      </c>
      <c r="D50" s="1" t="s">
        <v>96</v>
      </c>
      <c r="E50" s="1" t="s">
        <v>20</v>
      </c>
      <c r="F50" s="1" t="s">
        <v>15</v>
      </c>
      <c r="G50" s="1" t="s">
        <v>94</v>
      </c>
      <c r="H50" s="1" t="s">
        <v>15</v>
      </c>
      <c r="I50" s="1" t="s">
        <v>95</v>
      </c>
      <c r="J50" s="1" t="s">
        <v>76</v>
      </c>
      <c r="K50" s="1" t="s">
        <v>88</v>
      </c>
      <c r="L50" s="1" t="s">
        <v>15</v>
      </c>
      <c r="M50" s="1">
        <f t="shared" si="5"/>
        <v>19</v>
      </c>
    </row>
    <row r="51" spans="1:13" x14ac:dyDescent="0.2">
      <c r="A51" s="1" t="s">
        <v>72</v>
      </c>
      <c r="B51" s="1" t="str">
        <f t="shared" si="3"/>
        <v>Operations</v>
      </c>
      <c r="C51" s="1" t="str">
        <f t="shared" si="4"/>
        <v>Worship &amp; Arts</v>
      </c>
      <c r="D51" s="1" t="s">
        <v>97</v>
      </c>
      <c r="E51" s="1" t="s">
        <v>20</v>
      </c>
      <c r="F51" s="1" t="s">
        <v>15</v>
      </c>
      <c r="G51" s="1" t="s">
        <v>94</v>
      </c>
      <c r="H51" s="1" t="s">
        <v>15</v>
      </c>
      <c r="I51" s="1" t="s">
        <v>95</v>
      </c>
      <c r="J51" s="1" t="s">
        <v>76</v>
      </c>
      <c r="K51" s="1" t="s">
        <v>88</v>
      </c>
      <c r="L51" s="1" t="s">
        <v>15</v>
      </c>
      <c r="M51" s="1">
        <f t="shared" si="5"/>
        <v>19</v>
      </c>
    </row>
    <row r="52" spans="1:13" x14ac:dyDescent="0.2">
      <c r="A52" s="1" t="s">
        <v>72</v>
      </c>
      <c r="B52" s="1" t="str">
        <f t="shared" si="3"/>
        <v>Education, Music, &amp; Arts</v>
      </c>
      <c r="C52" s="1" t="str">
        <f t="shared" si="4"/>
        <v>Worship &amp; Arts</v>
      </c>
      <c r="D52" s="1" t="s">
        <v>98</v>
      </c>
      <c r="E52" s="4" t="s">
        <v>54</v>
      </c>
      <c r="F52" s="1" t="s">
        <v>25</v>
      </c>
      <c r="G52" s="1" t="s">
        <v>94</v>
      </c>
      <c r="H52" s="1" t="s">
        <v>25</v>
      </c>
      <c r="I52" s="1" t="s">
        <v>99</v>
      </c>
      <c r="J52" s="1" t="s">
        <v>76</v>
      </c>
      <c r="K52" s="1" t="s">
        <v>88</v>
      </c>
      <c r="L52" s="1" t="s">
        <v>74</v>
      </c>
      <c r="M52" s="1">
        <f t="shared" si="5"/>
        <v>20</v>
      </c>
    </row>
    <row r="53" spans="1:13" x14ac:dyDescent="0.2">
      <c r="A53" s="1" t="s">
        <v>72</v>
      </c>
      <c r="B53" s="1" t="str">
        <f t="shared" si="3"/>
        <v>Education, Music, &amp; Arts</v>
      </c>
      <c r="C53" s="1" t="str">
        <f t="shared" si="4"/>
        <v>Worship &amp; Arts</v>
      </c>
      <c r="D53" s="1" t="s">
        <v>100</v>
      </c>
      <c r="E53" s="4" t="s">
        <v>54</v>
      </c>
      <c r="F53" s="1" t="s">
        <v>25</v>
      </c>
      <c r="G53" s="1" t="s">
        <v>94</v>
      </c>
      <c r="H53" s="1" t="s">
        <v>25</v>
      </c>
      <c r="I53" s="1" t="s">
        <v>99</v>
      </c>
      <c r="J53" s="1" t="s">
        <v>76</v>
      </c>
      <c r="K53" s="1" t="s">
        <v>88</v>
      </c>
      <c r="L53" s="1" t="s">
        <v>74</v>
      </c>
      <c r="M53" s="1">
        <f t="shared" si="5"/>
        <v>20</v>
      </c>
    </row>
    <row r="54" spans="1:13" x14ac:dyDescent="0.2">
      <c r="A54" s="1" t="s">
        <v>72</v>
      </c>
      <c r="B54" s="1" t="str">
        <f t="shared" si="3"/>
        <v>Education, Music, &amp; Arts</v>
      </c>
      <c r="C54" s="1" t="str">
        <f t="shared" si="4"/>
        <v>Worship &amp; Arts</v>
      </c>
      <c r="D54" s="1" t="s">
        <v>101</v>
      </c>
      <c r="E54" s="4" t="s">
        <v>54</v>
      </c>
      <c r="F54" s="1" t="s">
        <v>25</v>
      </c>
      <c r="G54" s="1" t="s">
        <v>94</v>
      </c>
      <c r="H54" s="1" t="s">
        <v>25</v>
      </c>
      <c r="I54" s="1" t="s">
        <v>99</v>
      </c>
      <c r="J54" s="1" t="s">
        <v>76</v>
      </c>
      <c r="K54" s="1" t="s">
        <v>88</v>
      </c>
      <c r="L54" s="1" t="s">
        <v>74</v>
      </c>
      <c r="M54" s="1">
        <f t="shared" si="5"/>
        <v>20</v>
      </c>
    </row>
    <row r="55" spans="1:13" x14ac:dyDescent="0.2">
      <c r="A55" s="1" t="s">
        <v>72</v>
      </c>
      <c r="B55" s="1" t="str">
        <f t="shared" si="3"/>
        <v>Operations</v>
      </c>
      <c r="C55" s="1" t="str">
        <f t="shared" si="4"/>
        <v>Worship &amp; Arts</v>
      </c>
      <c r="D55" s="1" t="s">
        <v>102</v>
      </c>
      <c r="E55" s="1" t="s">
        <v>20</v>
      </c>
      <c r="F55" s="1" t="s">
        <v>15</v>
      </c>
      <c r="G55" s="1" t="s">
        <v>94</v>
      </c>
      <c r="H55" s="1" t="s">
        <v>15</v>
      </c>
      <c r="I55" s="1" t="s">
        <v>95</v>
      </c>
      <c r="J55" s="1" t="s">
        <v>76</v>
      </c>
      <c r="K55" s="1" t="s">
        <v>88</v>
      </c>
      <c r="L55" s="1" t="s">
        <v>15</v>
      </c>
      <c r="M55" s="1">
        <f t="shared" si="5"/>
        <v>21</v>
      </c>
    </row>
    <row r="56" spans="1:13" x14ac:dyDescent="0.2">
      <c r="A56" s="1" t="s">
        <v>72</v>
      </c>
      <c r="B56" s="1" t="str">
        <f t="shared" si="3"/>
        <v>Education, Music, &amp; Arts</v>
      </c>
      <c r="C56" s="1" t="str">
        <f t="shared" si="4"/>
        <v>Worship &amp; Arts</v>
      </c>
      <c r="D56" s="1" t="s">
        <v>103</v>
      </c>
      <c r="E56" s="4" t="s">
        <v>54</v>
      </c>
      <c r="F56" s="1" t="s">
        <v>25</v>
      </c>
      <c r="G56" s="1" t="s">
        <v>94</v>
      </c>
      <c r="H56" s="1" t="s">
        <v>25</v>
      </c>
      <c r="I56" s="1" t="s">
        <v>99</v>
      </c>
      <c r="J56" s="1" t="s">
        <v>76</v>
      </c>
      <c r="K56" s="1" t="s">
        <v>88</v>
      </c>
      <c r="L56" s="1" t="s">
        <v>74</v>
      </c>
      <c r="M56" s="1">
        <f t="shared" si="5"/>
        <v>22</v>
      </c>
    </row>
    <row r="57" spans="1:13" x14ac:dyDescent="0.2">
      <c r="A57" s="1" t="s">
        <v>72</v>
      </c>
      <c r="B57" s="1" t="str">
        <f t="shared" si="3"/>
        <v>Operations</v>
      </c>
      <c r="C57" s="1" t="str">
        <f t="shared" si="4"/>
        <v>Worship &amp; Arts</v>
      </c>
      <c r="D57" s="1" t="s">
        <v>104</v>
      </c>
      <c r="E57" s="1" t="s">
        <v>20</v>
      </c>
      <c r="F57" s="1" t="s">
        <v>15</v>
      </c>
      <c r="G57" s="1" t="s">
        <v>94</v>
      </c>
      <c r="H57" s="1" t="s">
        <v>15</v>
      </c>
      <c r="I57" s="1" t="s">
        <v>95</v>
      </c>
      <c r="J57" s="1" t="s">
        <v>76</v>
      </c>
      <c r="K57" s="1" t="s">
        <v>88</v>
      </c>
      <c r="L57" s="1" t="s">
        <v>15</v>
      </c>
      <c r="M57" s="1">
        <f t="shared" si="5"/>
        <v>23</v>
      </c>
    </row>
    <row r="58" spans="1:13" x14ac:dyDescent="0.2">
      <c r="A58" s="1" t="s">
        <v>72</v>
      </c>
      <c r="B58" s="1" t="str">
        <f t="shared" si="3"/>
        <v>Operations</v>
      </c>
      <c r="C58" s="1" t="str">
        <f t="shared" si="4"/>
        <v>Worship &amp; Arts</v>
      </c>
      <c r="D58" s="1" t="s">
        <v>105</v>
      </c>
      <c r="E58" s="1" t="s">
        <v>20</v>
      </c>
      <c r="F58" s="1" t="s">
        <v>15</v>
      </c>
      <c r="G58" s="1" t="s">
        <v>94</v>
      </c>
      <c r="H58" s="1" t="s">
        <v>15</v>
      </c>
      <c r="I58" s="1" t="s">
        <v>95</v>
      </c>
      <c r="J58" s="1" t="s">
        <v>76</v>
      </c>
      <c r="K58" s="1" t="s">
        <v>88</v>
      </c>
      <c r="L58" s="1" t="s">
        <v>15</v>
      </c>
      <c r="M58" s="1">
        <f t="shared" si="5"/>
        <v>23</v>
      </c>
    </row>
    <row r="59" spans="1:13" x14ac:dyDescent="0.2">
      <c r="A59" s="1" t="s">
        <v>72</v>
      </c>
      <c r="B59" s="1" t="str">
        <f t="shared" si="3"/>
        <v>Education, Music, &amp; Arts</v>
      </c>
      <c r="C59" s="1" t="str">
        <f t="shared" si="4"/>
        <v>Worship &amp; Arts</v>
      </c>
      <c r="D59" s="1" t="s">
        <v>106</v>
      </c>
      <c r="E59" s="4" t="s">
        <v>54</v>
      </c>
      <c r="F59" s="1" t="s">
        <v>25</v>
      </c>
      <c r="G59" s="1" t="s">
        <v>94</v>
      </c>
      <c r="H59" s="1" t="s">
        <v>25</v>
      </c>
      <c r="I59" s="1" t="s">
        <v>99</v>
      </c>
      <c r="J59" s="1" t="s">
        <v>76</v>
      </c>
      <c r="K59" s="1" t="s">
        <v>88</v>
      </c>
      <c r="L59" s="1" t="s">
        <v>74</v>
      </c>
      <c r="M59" s="1">
        <f t="shared" si="5"/>
        <v>24</v>
      </c>
    </row>
    <row r="60" spans="1:13" x14ac:dyDescent="0.2">
      <c r="A60" s="1" t="s">
        <v>72</v>
      </c>
      <c r="B60" s="1" t="str">
        <f t="shared" si="3"/>
        <v>Education, Music, &amp; Arts</v>
      </c>
      <c r="C60" s="1" t="str">
        <f t="shared" si="4"/>
        <v>Personnel - Education</v>
      </c>
      <c r="D60" s="1" t="s">
        <v>107</v>
      </c>
      <c r="E60" s="4" t="s">
        <v>54</v>
      </c>
      <c r="F60" s="1" t="s">
        <v>25</v>
      </c>
      <c r="G60" s="1" t="s">
        <v>84</v>
      </c>
      <c r="H60" s="1" t="s">
        <v>25</v>
      </c>
      <c r="I60" s="1" t="s">
        <v>84</v>
      </c>
      <c r="J60" s="1" t="s">
        <v>76</v>
      </c>
      <c r="K60" s="1" t="s">
        <v>91</v>
      </c>
      <c r="L60" s="1" t="s">
        <v>74</v>
      </c>
      <c r="M60" s="1">
        <f t="shared" si="5"/>
        <v>24</v>
      </c>
    </row>
    <row r="61" spans="1:13" x14ac:dyDescent="0.2">
      <c r="A61" s="1" t="s">
        <v>72</v>
      </c>
      <c r="B61" s="1" t="str">
        <f t="shared" si="3"/>
        <v>Education, Music, &amp; Arts</v>
      </c>
      <c r="C61" s="1" t="str">
        <f t="shared" si="4"/>
        <v>Worship &amp; Arts</v>
      </c>
      <c r="D61" s="1" t="s">
        <v>108</v>
      </c>
      <c r="E61" s="4" t="s">
        <v>54</v>
      </c>
      <c r="F61" s="1" t="s">
        <v>25</v>
      </c>
      <c r="G61" s="1" t="s">
        <v>94</v>
      </c>
      <c r="H61" s="1" t="s">
        <v>25</v>
      </c>
      <c r="I61" s="1" t="s">
        <v>99</v>
      </c>
      <c r="J61" s="1" t="s">
        <v>76</v>
      </c>
      <c r="K61" s="1" t="s">
        <v>88</v>
      </c>
      <c r="L61" s="1" t="s">
        <v>74</v>
      </c>
      <c r="M61" s="1">
        <f t="shared" si="5"/>
        <v>24</v>
      </c>
    </row>
    <row r="62" spans="1:13" x14ac:dyDescent="0.2">
      <c r="A62" s="1" t="s">
        <v>72</v>
      </c>
      <c r="B62" s="1" t="str">
        <f t="shared" si="3"/>
        <v>Operations</v>
      </c>
      <c r="C62" s="1" t="str">
        <f t="shared" si="4"/>
        <v>Worship &amp; Arts</v>
      </c>
      <c r="D62" s="1" t="s">
        <v>109</v>
      </c>
      <c r="E62" s="1" t="s">
        <v>20</v>
      </c>
      <c r="F62" s="1" t="s">
        <v>15</v>
      </c>
      <c r="G62" s="1" t="s">
        <v>94</v>
      </c>
      <c r="H62" s="1" t="s">
        <v>15</v>
      </c>
      <c r="I62" s="1" t="s">
        <v>95</v>
      </c>
      <c r="J62" s="1" t="s">
        <v>76</v>
      </c>
      <c r="K62" s="1" t="s">
        <v>88</v>
      </c>
      <c r="L62" s="1" t="s">
        <v>15</v>
      </c>
      <c r="M62" s="1">
        <f t="shared" si="5"/>
        <v>25</v>
      </c>
    </row>
    <row r="63" spans="1:13" x14ac:dyDescent="0.2">
      <c r="A63" s="1" t="s">
        <v>72</v>
      </c>
      <c r="B63" s="1" t="str">
        <f t="shared" si="3"/>
        <v>Education, Music, &amp; Arts</v>
      </c>
      <c r="C63" s="1" t="str">
        <f t="shared" si="4"/>
        <v>Worship &amp; Arts</v>
      </c>
      <c r="D63" s="1" t="s">
        <v>110</v>
      </c>
      <c r="E63" s="4" t="s">
        <v>54</v>
      </c>
      <c r="F63" s="1" t="s">
        <v>25</v>
      </c>
      <c r="G63" s="1" t="s">
        <v>94</v>
      </c>
      <c r="H63" s="1" t="s">
        <v>25</v>
      </c>
      <c r="I63" s="1" t="s">
        <v>99</v>
      </c>
      <c r="J63" s="1" t="s">
        <v>76</v>
      </c>
      <c r="K63" s="1" t="s">
        <v>88</v>
      </c>
      <c r="L63" s="1" t="s">
        <v>74</v>
      </c>
      <c r="M63" s="1">
        <f t="shared" si="5"/>
        <v>26</v>
      </c>
    </row>
    <row r="64" spans="1:13" x14ac:dyDescent="0.2">
      <c r="A64" s="1" t="s">
        <v>72</v>
      </c>
      <c r="B64" s="1" t="str">
        <f t="shared" si="3"/>
        <v>Operations</v>
      </c>
      <c r="C64" s="1" t="str">
        <f t="shared" si="4"/>
        <v>Worship &amp; Arts</v>
      </c>
      <c r="D64" s="1" t="s">
        <v>111</v>
      </c>
      <c r="E64" s="1" t="s">
        <v>20</v>
      </c>
      <c r="F64" s="1" t="s">
        <v>15</v>
      </c>
      <c r="G64" s="1" t="s">
        <v>94</v>
      </c>
      <c r="H64" s="1" t="s">
        <v>15</v>
      </c>
      <c r="I64" s="1" t="s">
        <v>95</v>
      </c>
      <c r="J64" s="1" t="s">
        <v>76</v>
      </c>
      <c r="K64" s="1" t="s">
        <v>88</v>
      </c>
      <c r="L64" s="1" t="s">
        <v>15</v>
      </c>
      <c r="M64" s="1">
        <f t="shared" si="5"/>
        <v>27</v>
      </c>
    </row>
    <row r="65" spans="1:13" x14ac:dyDescent="0.2">
      <c r="A65" s="1" t="s">
        <v>72</v>
      </c>
      <c r="B65" s="1" t="str">
        <f t="shared" si="3"/>
        <v>Education, Music, &amp; Arts</v>
      </c>
      <c r="C65" s="1" t="str">
        <f t="shared" si="4"/>
        <v>Worship &amp; Arts</v>
      </c>
      <c r="D65" s="1" t="s">
        <v>112</v>
      </c>
      <c r="E65" t="s">
        <v>14</v>
      </c>
      <c r="F65" s="1" t="s">
        <v>25</v>
      </c>
      <c r="G65" s="1" t="s">
        <v>94</v>
      </c>
      <c r="H65" s="1" t="s">
        <v>113</v>
      </c>
      <c r="I65" s="1" t="s">
        <v>99</v>
      </c>
      <c r="J65" s="1" t="s">
        <v>76</v>
      </c>
      <c r="K65" s="1" t="s">
        <v>88</v>
      </c>
      <c r="L65" s="1" t="s">
        <v>74</v>
      </c>
      <c r="M65" s="1">
        <f t="shared" si="5"/>
        <v>28</v>
      </c>
    </row>
    <row r="66" spans="1:13" x14ac:dyDescent="0.2">
      <c r="A66" s="1" t="s">
        <v>72</v>
      </c>
      <c r="B66" s="1" t="str">
        <f t="shared" si="3"/>
        <v>Operations</v>
      </c>
      <c r="C66" s="1" t="str">
        <f t="shared" si="4"/>
        <v>Worship &amp; Arts</v>
      </c>
      <c r="D66" t="s">
        <v>114</v>
      </c>
      <c r="E66" t="s">
        <v>14</v>
      </c>
      <c r="F66" s="1" t="s">
        <v>15</v>
      </c>
      <c r="G66" s="1" t="s">
        <v>94</v>
      </c>
      <c r="H66" s="1" t="s">
        <v>15</v>
      </c>
      <c r="I66" s="1" t="s">
        <v>95</v>
      </c>
      <c r="J66" s="1" t="s">
        <v>76</v>
      </c>
      <c r="K66" s="1" t="s">
        <v>88</v>
      </c>
      <c r="L66" s="1" t="s">
        <v>15</v>
      </c>
      <c r="M66" s="1">
        <f t="shared" si="5"/>
        <v>29</v>
      </c>
    </row>
    <row r="67" spans="1:13" x14ac:dyDescent="0.2">
      <c r="A67" s="1" t="s">
        <v>72</v>
      </c>
      <c r="B67" s="1" t="str">
        <f t="shared" si="3"/>
        <v>Operations</v>
      </c>
      <c r="C67" s="1" t="str">
        <f t="shared" si="4"/>
        <v>Worship &amp; Arts</v>
      </c>
      <c r="D67" s="1" t="s">
        <v>115</v>
      </c>
      <c r="E67" s="1" t="s">
        <v>20</v>
      </c>
      <c r="F67" s="1" t="s">
        <v>15</v>
      </c>
      <c r="G67" s="1" t="s">
        <v>94</v>
      </c>
      <c r="H67" s="1" t="s">
        <v>15</v>
      </c>
      <c r="I67" s="1" t="s">
        <v>95</v>
      </c>
      <c r="J67" s="1" t="s">
        <v>76</v>
      </c>
      <c r="K67" s="1" t="s">
        <v>88</v>
      </c>
      <c r="L67" s="1" t="s">
        <v>15</v>
      </c>
      <c r="M67" s="1">
        <f t="shared" ref="M67:M98" si="8">IF(B67=B66,M66,M66+1)</f>
        <v>29</v>
      </c>
    </row>
    <row r="68" spans="1:13" x14ac:dyDescent="0.2">
      <c r="A68" s="1" t="s">
        <v>72</v>
      </c>
      <c r="B68" s="1" t="str">
        <f t="shared" si="3"/>
        <v>Education, Music, &amp; Arts</v>
      </c>
      <c r="C68" s="1" t="str">
        <f t="shared" si="4"/>
        <v>Worship &amp; Arts</v>
      </c>
      <c r="D68" s="1" t="s">
        <v>116</v>
      </c>
      <c r="E68" s="4" t="s">
        <v>54</v>
      </c>
      <c r="F68" s="1" t="s">
        <v>25</v>
      </c>
      <c r="G68" s="1" t="s">
        <v>94</v>
      </c>
      <c r="H68" s="1" t="s">
        <v>25</v>
      </c>
      <c r="I68" s="1" t="s">
        <v>99</v>
      </c>
      <c r="J68" s="1" t="s">
        <v>76</v>
      </c>
      <c r="K68" s="1" t="s">
        <v>88</v>
      </c>
      <c r="L68" s="1" t="s">
        <v>74</v>
      </c>
      <c r="M68" s="1">
        <f t="shared" si="8"/>
        <v>30</v>
      </c>
    </row>
    <row r="69" spans="1:13" x14ac:dyDescent="0.2">
      <c r="A69" s="1" t="s">
        <v>72</v>
      </c>
      <c r="B69" s="1" t="str">
        <f t="shared" si="3"/>
        <v>Operations</v>
      </c>
      <c r="C69" s="1" t="str">
        <f t="shared" si="4"/>
        <v>Worship &amp; Arts</v>
      </c>
      <c r="D69" s="1" t="s">
        <v>117</v>
      </c>
      <c r="E69" s="1" t="s">
        <v>20</v>
      </c>
      <c r="F69" s="1" t="s">
        <v>15</v>
      </c>
      <c r="G69" s="1" t="s">
        <v>94</v>
      </c>
      <c r="H69" s="1" t="s">
        <v>15</v>
      </c>
      <c r="I69" s="1" t="s">
        <v>95</v>
      </c>
      <c r="J69" s="1" t="s">
        <v>76</v>
      </c>
      <c r="K69" s="1" t="s">
        <v>88</v>
      </c>
      <c r="L69" s="1" t="s">
        <v>15</v>
      </c>
      <c r="M69" s="1">
        <f t="shared" si="8"/>
        <v>31</v>
      </c>
    </row>
    <row r="70" spans="1:13" x14ac:dyDescent="0.2">
      <c r="A70" s="1" t="s">
        <v>72</v>
      </c>
      <c r="B70" s="1" t="str">
        <f t="shared" si="3"/>
        <v>Operations</v>
      </c>
      <c r="C70" s="1" t="str">
        <f t="shared" si="4"/>
        <v>Worship &amp; Arts</v>
      </c>
      <c r="D70" s="1" t="s">
        <v>118</v>
      </c>
      <c r="E70" s="1" t="s">
        <v>20</v>
      </c>
      <c r="F70" s="1" t="s">
        <v>15</v>
      </c>
      <c r="G70" s="1" t="s">
        <v>94</v>
      </c>
      <c r="H70" s="1" t="s">
        <v>15</v>
      </c>
      <c r="I70" s="1" t="s">
        <v>95</v>
      </c>
      <c r="J70" s="1" t="s">
        <v>76</v>
      </c>
      <c r="K70" s="1" t="s">
        <v>88</v>
      </c>
      <c r="L70" s="1" t="s">
        <v>15</v>
      </c>
      <c r="M70" s="1">
        <f t="shared" si="8"/>
        <v>31</v>
      </c>
    </row>
    <row r="71" spans="1:13" x14ac:dyDescent="0.2">
      <c r="A71" s="1" t="s">
        <v>72</v>
      </c>
      <c r="B71" s="1" t="str">
        <f t="shared" si="3"/>
        <v>Operations</v>
      </c>
      <c r="C71" s="1" t="str">
        <f t="shared" si="4"/>
        <v>Worship &amp; Arts</v>
      </c>
      <c r="D71" s="1" t="s">
        <v>119</v>
      </c>
      <c r="E71" s="1" t="s">
        <v>68</v>
      </c>
      <c r="F71" s="1" t="s">
        <v>15</v>
      </c>
      <c r="G71" s="1" t="s">
        <v>94</v>
      </c>
      <c r="H71" s="1" t="s">
        <v>15</v>
      </c>
      <c r="I71" s="1" t="s">
        <v>95</v>
      </c>
      <c r="J71" s="1" t="s">
        <v>76</v>
      </c>
      <c r="K71" s="1" t="s">
        <v>88</v>
      </c>
      <c r="L71" s="1" t="s">
        <v>15</v>
      </c>
      <c r="M71" s="1">
        <f t="shared" si="8"/>
        <v>31</v>
      </c>
    </row>
    <row r="72" spans="1:13" x14ac:dyDescent="0.2">
      <c r="A72" s="1" t="s">
        <v>72</v>
      </c>
      <c r="B72" s="1" t="str">
        <f t="shared" si="3"/>
        <v>Operations</v>
      </c>
      <c r="C72" s="1" t="str">
        <f t="shared" si="4"/>
        <v>Worship &amp; Arts</v>
      </c>
      <c r="D72" s="1" t="s">
        <v>120</v>
      </c>
      <c r="E72" s="1" t="s">
        <v>20</v>
      </c>
      <c r="F72" s="1" t="s">
        <v>15</v>
      </c>
      <c r="G72" s="1" t="s">
        <v>94</v>
      </c>
      <c r="H72" s="1" t="s">
        <v>15</v>
      </c>
      <c r="I72" s="1" t="s">
        <v>95</v>
      </c>
      <c r="J72" s="1" t="s">
        <v>76</v>
      </c>
      <c r="K72" s="1" t="s">
        <v>88</v>
      </c>
      <c r="L72" s="1" t="s">
        <v>15</v>
      </c>
      <c r="M72" s="1">
        <f t="shared" si="8"/>
        <v>31</v>
      </c>
    </row>
    <row r="73" spans="1:13" x14ac:dyDescent="0.2">
      <c r="A73" s="1" t="s">
        <v>72</v>
      </c>
      <c r="B73" s="1" t="str">
        <f t="shared" si="3"/>
        <v>Education, Music, &amp; Arts</v>
      </c>
      <c r="C73" s="1" t="str">
        <f t="shared" si="4"/>
        <v>Worship &amp; Arts</v>
      </c>
      <c r="D73" s="1" t="s">
        <v>121</v>
      </c>
      <c r="E73" s="4" t="s">
        <v>54</v>
      </c>
      <c r="F73" s="1" t="s">
        <v>25</v>
      </c>
      <c r="G73" s="1" t="s">
        <v>94</v>
      </c>
      <c r="H73" s="1" t="s">
        <v>25</v>
      </c>
      <c r="I73" s="1" t="s">
        <v>99</v>
      </c>
      <c r="J73" s="1" t="s">
        <v>76</v>
      </c>
      <c r="K73" s="1" t="s">
        <v>88</v>
      </c>
      <c r="L73" s="1" t="s">
        <v>74</v>
      </c>
      <c r="M73" s="1">
        <f t="shared" si="8"/>
        <v>32</v>
      </c>
    </row>
    <row r="74" spans="1:13" x14ac:dyDescent="0.2">
      <c r="A74" s="1" t="s">
        <v>72</v>
      </c>
      <c r="B74" s="1" t="str">
        <f t="shared" si="3"/>
        <v>Education, Music, &amp; Arts</v>
      </c>
      <c r="C74" s="1" t="str">
        <f t="shared" si="4"/>
        <v>Worship &amp; Arts</v>
      </c>
      <c r="D74" s="1" t="s">
        <v>122</v>
      </c>
      <c r="E74" s="4" t="s">
        <v>54</v>
      </c>
      <c r="F74" s="1" t="s">
        <v>25</v>
      </c>
      <c r="G74" s="1" t="s">
        <v>94</v>
      </c>
      <c r="H74" s="1" t="s">
        <v>25</v>
      </c>
      <c r="I74" s="1" t="s">
        <v>99</v>
      </c>
      <c r="J74" s="1" t="s">
        <v>76</v>
      </c>
      <c r="K74" s="1" t="s">
        <v>88</v>
      </c>
      <c r="L74" s="1" t="s">
        <v>74</v>
      </c>
      <c r="M74" s="1">
        <f t="shared" si="8"/>
        <v>32</v>
      </c>
    </row>
    <row r="75" spans="1:13" x14ac:dyDescent="0.2">
      <c r="A75" s="1" t="s">
        <v>72</v>
      </c>
      <c r="B75" s="1" t="str">
        <f t="shared" ref="B75:B100" si="9">F75</f>
        <v>Personnel</v>
      </c>
      <c r="C75" s="1" t="str">
        <f t="shared" ref="C75:C100" si="10">G75</f>
        <v>Youth Ed</v>
      </c>
      <c r="D75" s="1" t="s">
        <v>123</v>
      </c>
      <c r="E75" s="4" t="s">
        <v>54</v>
      </c>
      <c r="F75" s="1" t="s">
        <v>74</v>
      </c>
      <c r="G75" s="1" t="s">
        <v>124</v>
      </c>
      <c r="H75" s="1" t="s">
        <v>74</v>
      </c>
      <c r="I75" s="1" t="s">
        <v>124</v>
      </c>
      <c r="J75" s="1" t="s">
        <v>125</v>
      </c>
      <c r="K75" s="1" t="s">
        <v>126</v>
      </c>
      <c r="L75" s="1" t="s">
        <v>74</v>
      </c>
      <c r="M75" s="1">
        <f t="shared" si="8"/>
        <v>33</v>
      </c>
    </row>
    <row r="76" spans="1:13" x14ac:dyDescent="0.2">
      <c r="A76" s="1" t="s">
        <v>72</v>
      </c>
      <c r="B76" s="1" t="str">
        <f t="shared" si="9"/>
        <v>Personnel</v>
      </c>
      <c r="C76" s="1" t="str">
        <f t="shared" si="10"/>
        <v>Youth Ed</v>
      </c>
      <c r="D76" s="1" t="s">
        <v>127</v>
      </c>
      <c r="E76" s="1" t="s">
        <v>20</v>
      </c>
      <c r="F76" s="1" t="s">
        <v>74</v>
      </c>
      <c r="G76" s="1" t="s">
        <v>124</v>
      </c>
      <c r="H76" s="1" t="s">
        <v>74</v>
      </c>
      <c r="I76" s="1" t="s">
        <v>124</v>
      </c>
      <c r="J76" s="1" t="s">
        <v>125</v>
      </c>
      <c r="K76" s="1" t="s">
        <v>126</v>
      </c>
      <c r="L76" s="1" t="s">
        <v>74</v>
      </c>
      <c r="M76" s="1">
        <f t="shared" si="8"/>
        <v>33</v>
      </c>
    </row>
    <row r="77" spans="1:13" x14ac:dyDescent="0.2">
      <c r="A77" s="1" t="s">
        <v>72</v>
      </c>
      <c r="B77" s="1" t="str">
        <f t="shared" si="9"/>
        <v>Personnel</v>
      </c>
      <c r="C77" s="1" t="str">
        <f t="shared" si="10"/>
        <v>Youth Ed</v>
      </c>
      <c r="D77" s="1" t="s">
        <v>128</v>
      </c>
      <c r="E77" s="1" t="s">
        <v>20</v>
      </c>
      <c r="F77" s="1" t="s">
        <v>74</v>
      </c>
      <c r="G77" s="1" t="s">
        <v>124</v>
      </c>
      <c r="H77" s="1" t="s">
        <v>74</v>
      </c>
      <c r="I77" s="1" t="s">
        <v>124</v>
      </c>
      <c r="J77" s="1" t="s">
        <v>125</v>
      </c>
      <c r="K77" s="1" t="s">
        <v>126</v>
      </c>
      <c r="L77" s="1" t="s">
        <v>74</v>
      </c>
      <c r="M77" s="1">
        <f t="shared" si="8"/>
        <v>33</v>
      </c>
    </row>
    <row r="78" spans="1:13" x14ac:dyDescent="0.2">
      <c r="A78" s="1" t="s">
        <v>72</v>
      </c>
      <c r="B78" s="1" t="str">
        <f t="shared" si="9"/>
        <v>Personnel</v>
      </c>
      <c r="C78" s="1" t="str">
        <f t="shared" si="10"/>
        <v>Youth Ed</v>
      </c>
      <c r="D78" s="6" t="s">
        <v>129</v>
      </c>
      <c r="E78" s="1" t="s">
        <v>20</v>
      </c>
      <c r="F78" s="1" t="s">
        <v>74</v>
      </c>
      <c r="G78" s="1" t="s">
        <v>124</v>
      </c>
      <c r="H78" s="1" t="s">
        <v>74</v>
      </c>
      <c r="I78" s="1" t="s">
        <v>124</v>
      </c>
      <c r="J78" s="1" t="s">
        <v>125</v>
      </c>
      <c r="K78" s="1" t="s">
        <v>126</v>
      </c>
      <c r="L78" s="1" t="s">
        <v>74</v>
      </c>
      <c r="M78" s="1">
        <f t="shared" si="8"/>
        <v>33</v>
      </c>
    </row>
    <row r="79" spans="1:13" x14ac:dyDescent="0.2">
      <c r="A79" s="1" t="s">
        <v>72</v>
      </c>
      <c r="B79" s="1" t="str">
        <f t="shared" si="9"/>
        <v>Personnel</v>
      </c>
      <c r="C79" s="1" t="str">
        <f t="shared" si="10"/>
        <v>Youth Ed</v>
      </c>
      <c r="D79" s="1" t="s">
        <v>130</v>
      </c>
      <c r="E79" s="1" t="s">
        <v>20</v>
      </c>
      <c r="F79" s="1" t="s">
        <v>74</v>
      </c>
      <c r="G79" s="1" t="s">
        <v>124</v>
      </c>
      <c r="H79" s="1" t="s">
        <v>74</v>
      </c>
      <c r="I79" s="1" t="s">
        <v>124</v>
      </c>
      <c r="J79" s="1" t="s">
        <v>125</v>
      </c>
      <c r="K79" s="1" t="s">
        <v>126</v>
      </c>
      <c r="L79" s="1" t="s">
        <v>74</v>
      </c>
      <c r="M79" s="1">
        <f t="shared" si="8"/>
        <v>33</v>
      </c>
    </row>
    <row r="80" spans="1:13" x14ac:dyDescent="0.2">
      <c r="A80" s="1" t="s">
        <v>72</v>
      </c>
      <c r="B80" s="1" t="str">
        <f t="shared" si="9"/>
        <v>Operations</v>
      </c>
      <c r="C80" s="1" t="str">
        <f t="shared" si="10"/>
        <v>Youth Ed</v>
      </c>
      <c r="D80" s="1" t="s">
        <v>131</v>
      </c>
      <c r="E80" s="1" t="s">
        <v>20</v>
      </c>
      <c r="F80" s="1" t="s">
        <v>15</v>
      </c>
      <c r="G80" s="1" t="s">
        <v>124</v>
      </c>
      <c r="H80" s="1" t="s">
        <v>15</v>
      </c>
      <c r="I80" s="1" t="s">
        <v>124</v>
      </c>
      <c r="J80" s="1" t="s">
        <v>125</v>
      </c>
      <c r="K80" s="1" t="s">
        <v>132</v>
      </c>
      <c r="L80" s="1" t="s">
        <v>133</v>
      </c>
      <c r="M80" s="1">
        <f t="shared" si="8"/>
        <v>34</v>
      </c>
    </row>
    <row r="81" spans="1:13" x14ac:dyDescent="0.2">
      <c r="A81" s="1" t="s">
        <v>72</v>
      </c>
      <c r="B81" s="1" t="str">
        <f t="shared" si="9"/>
        <v>Operations</v>
      </c>
      <c r="C81" s="1" t="str">
        <f t="shared" si="10"/>
        <v>Youth Ed</v>
      </c>
      <c r="D81" s="1" t="s">
        <v>134</v>
      </c>
      <c r="E81" s="1" t="s">
        <v>20</v>
      </c>
      <c r="F81" s="1" t="s">
        <v>15</v>
      </c>
      <c r="G81" s="1" t="s">
        <v>124</v>
      </c>
      <c r="H81" s="1" t="s">
        <v>15</v>
      </c>
      <c r="I81" s="1" t="s">
        <v>124</v>
      </c>
      <c r="J81" s="1" t="s">
        <v>125</v>
      </c>
      <c r="K81" s="1" t="s">
        <v>132</v>
      </c>
      <c r="L81" s="1" t="s">
        <v>133</v>
      </c>
      <c r="M81" s="1">
        <f t="shared" si="8"/>
        <v>34</v>
      </c>
    </row>
    <row r="82" spans="1:13" x14ac:dyDescent="0.2">
      <c r="A82" s="1" t="s">
        <v>72</v>
      </c>
      <c r="B82" s="1" t="str">
        <f t="shared" si="9"/>
        <v>Operations</v>
      </c>
      <c r="C82" s="1" t="str">
        <f t="shared" si="10"/>
        <v>Youth Ed</v>
      </c>
      <c r="D82" s="1" t="s">
        <v>135</v>
      </c>
      <c r="E82" s="1" t="s">
        <v>20</v>
      </c>
      <c r="F82" s="1" t="s">
        <v>15</v>
      </c>
      <c r="G82" s="1" t="s">
        <v>124</v>
      </c>
      <c r="H82" s="1" t="s">
        <v>15</v>
      </c>
      <c r="I82" s="1" t="s">
        <v>124</v>
      </c>
      <c r="J82" s="1" t="s">
        <v>125</v>
      </c>
      <c r="K82" s="1" t="s">
        <v>132</v>
      </c>
      <c r="L82" s="1" t="s">
        <v>133</v>
      </c>
      <c r="M82" s="1">
        <f t="shared" si="8"/>
        <v>34</v>
      </c>
    </row>
    <row r="83" spans="1:13" x14ac:dyDescent="0.2">
      <c r="A83" s="1" t="s">
        <v>72</v>
      </c>
      <c r="B83" s="1" t="str">
        <f t="shared" si="9"/>
        <v>Operations</v>
      </c>
      <c r="C83" s="1" t="str">
        <f t="shared" si="10"/>
        <v>Youth Ed</v>
      </c>
      <c r="D83" s="1" t="s">
        <v>136</v>
      </c>
      <c r="E83" s="1" t="s">
        <v>20</v>
      </c>
      <c r="F83" s="1" t="s">
        <v>15</v>
      </c>
      <c r="G83" s="1" t="s">
        <v>124</v>
      </c>
      <c r="H83" s="1" t="s">
        <v>15</v>
      </c>
      <c r="I83" s="1" t="s">
        <v>124</v>
      </c>
      <c r="J83" s="1" t="s">
        <v>125</v>
      </c>
      <c r="K83" s="1" t="s">
        <v>132</v>
      </c>
      <c r="L83" s="1" t="s">
        <v>133</v>
      </c>
      <c r="M83" s="1">
        <f t="shared" si="8"/>
        <v>34</v>
      </c>
    </row>
    <row r="84" spans="1:13" x14ac:dyDescent="0.2">
      <c r="A84" s="1" t="s">
        <v>72</v>
      </c>
      <c r="B84" s="1" t="str">
        <f t="shared" si="9"/>
        <v>Operations</v>
      </c>
      <c r="C84" s="1" t="str">
        <f t="shared" si="10"/>
        <v>Youth Ed</v>
      </c>
      <c r="D84" s="1" t="s">
        <v>137</v>
      </c>
      <c r="E84" s="1" t="s">
        <v>20</v>
      </c>
      <c r="F84" s="1" t="s">
        <v>15</v>
      </c>
      <c r="G84" s="1" t="s">
        <v>124</v>
      </c>
      <c r="H84" s="1" t="s">
        <v>15</v>
      </c>
      <c r="I84" s="1" t="s">
        <v>124</v>
      </c>
      <c r="J84" s="1" t="s">
        <v>125</v>
      </c>
      <c r="K84" s="1" t="s">
        <v>132</v>
      </c>
      <c r="L84" s="1" t="s">
        <v>133</v>
      </c>
      <c r="M84" s="1">
        <f t="shared" si="8"/>
        <v>34</v>
      </c>
    </row>
    <row r="85" spans="1:13" x14ac:dyDescent="0.2">
      <c r="A85" s="1" t="s">
        <v>72</v>
      </c>
      <c r="B85" s="1" t="str">
        <f t="shared" si="9"/>
        <v>Operations</v>
      </c>
      <c r="C85" s="1" t="str">
        <f t="shared" si="10"/>
        <v>Youth Ed</v>
      </c>
      <c r="D85" s="1" t="s">
        <v>138</v>
      </c>
      <c r="E85" s="1" t="s">
        <v>20</v>
      </c>
      <c r="F85" s="1" t="s">
        <v>15</v>
      </c>
      <c r="G85" s="1" t="s">
        <v>124</v>
      </c>
      <c r="H85" s="1" t="s">
        <v>15</v>
      </c>
      <c r="I85" s="1" t="s">
        <v>124</v>
      </c>
      <c r="J85" s="1" t="s">
        <v>125</v>
      </c>
      <c r="K85" s="1" t="s">
        <v>132</v>
      </c>
      <c r="L85" s="1" t="s">
        <v>133</v>
      </c>
      <c r="M85" s="1">
        <f t="shared" si="8"/>
        <v>34</v>
      </c>
    </row>
    <row r="86" spans="1:13" x14ac:dyDescent="0.2">
      <c r="A86" s="1" t="s">
        <v>72</v>
      </c>
      <c r="B86" s="1" t="str">
        <f t="shared" si="9"/>
        <v>Operations</v>
      </c>
      <c r="C86" s="1" t="str">
        <f t="shared" si="10"/>
        <v>Youth Ed</v>
      </c>
      <c r="D86" s="1" t="s">
        <v>139</v>
      </c>
      <c r="E86" s="4" t="s">
        <v>54</v>
      </c>
      <c r="F86" s="1" t="s">
        <v>15</v>
      </c>
      <c r="G86" s="1" t="s">
        <v>124</v>
      </c>
      <c r="H86" s="1" t="s">
        <v>15</v>
      </c>
      <c r="I86" s="1" t="s">
        <v>124</v>
      </c>
      <c r="J86" s="1" t="s">
        <v>125</v>
      </c>
      <c r="K86" s="1" t="s">
        <v>132</v>
      </c>
      <c r="L86" s="1" t="s">
        <v>133</v>
      </c>
      <c r="M86" s="1">
        <f t="shared" si="8"/>
        <v>34</v>
      </c>
    </row>
    <row r="87" spans="1:13" x14ac:dyDescent="0.2">
      <c r="A87" s="1" t="s">
        <v>72</v>
      </c>
      <c r="B87" s="1" t="str">
        <f t="shared" si="9"/>
        <v>Operations</v>
      </c>
      <c r="C87" s="1" t="str">
        <f t="shared" si="10"/>
        <v>Youth Ed</v>
      </c>
      <c r="D87" s="1" t="s">
        <v>140</v>
      </c>
      <c r="E87" s="1" t="s">
        <v>20</v>
      </c>
      <c r="F87" s="1" t="s">
        <v>15</v>
      </c>
      <c r="G87" s="1" t="s">
        <v>124</v>
      </c>
      <c r="H87" s="1" t="s">
        <v>15</v>
      </c>
      <c r="I87" s="1" t="s">
        <v>124</v>
      </c>
      <c r="J87" s="1" t="s">
        <v>125</v>
      </c>
      <c r="K87" s="1" t="s">
        <v>132</v>
      </c>
      <c r="L87" s="1" t="s">
        <v>133</v>
      </c>
      <c r="M87" s="1">
        <f t="shared" si="8"/>
        <v>34</v>
      </c>
    </row>
    <row r="88" spans="1:13" x14ac:dyDescent="0.2">
      <c r="A88" s="1" t="s">
        <v>72</v>
      </c>
      <c r="B88" s="1" t="str">
        <f t="shared" si="9"/>
        <v>Mission</v>
      </c>
      <c r="C88" s="1" t="str">
        <f t="shared" si="10"/>
        <v>Youth Ed</v>
      </c>
      <c r="D88" s="1" t="s">
        <v>141</v>
      </c>
      <c r="E88" s="1" t="s">
        <v>142</v>
      </c>
      <c r="F88" s="1" t="s">
        <v>28</v>
      </c>
      <c r="G88" s="1" t="s">
        <v>124</v>
      </c>
      <c r="H88" s="1" t="s">
        <v>143</v>
      </c>
      <c r="I88" s="1" t="s">
        <v>124</v>
      </c>
      <c r="J88" s="1" t="s">
        <v>125</v>
      </c>
      <c r="K88" s="1" t="s">
        <v>132</v>
      </c>
      <c r="L88" s="1" t="s">
        <v>28</v>
      </c>
      <c r="M88" s="1">
        <f t="shared" si="8"/>
        <v>35</v>
      </c>
    </row>
    <row r="89" spans="1:13" x14ac:dyDescent="0.2">
      <c r="A89" s="1" t="s">
        <v>72</v>
      </c>
      <c r="B89" s="1" t="str">
        <f t="shared" si="9"/>
        <v>Operations</v>
      </c>
      <c r="C89" s="1" t="str">
        <f t="shared" si="10"/>
        <v>Youth Ed</v>
      </c>
      <c r="D89" s="1" t="s">
        <v>144</v>
      </c>
      <c r="E89" s="1" t="s">
        <v>20</v>
      </c>
      <c r="F89" s="1" t="s">
        <v>15</v>
      </c>
      <c r="G89" s="1" t="s">
        <v>124</v>
      </c>
      <c r="H89" s="1" t="s">
        <v>15</v>
      </c>
      <c r="I89" s="1" t="s">
        <v>124</v>
      </c>
      <c r="J89" s="1" t="s">
        <v>125</v>
      </c>
      <c r="K89" s="1" t="s">
        <v>132</v>
      </c>
      <c r="L89" s="1" t="s">
        <v>133</v>
      </c>
      <c r="M89" s="1">
        <f t="shared" si="8"/>
        <v>36</v>
      </c>
    </row>
    <row r="90" spans="1:13" x14ac:dyDescent="0.2">
      <c r="A90" s="1" t="s">
        <v>72</v>
      </c>
      <c r="B90" s="1" t="str">
        <f t="shared" si="9"/>
        <v>Operations</v>
      </c>
      <c r="C90" s="1" t="str">
        <f t="shared" si="10"/>
        <v>Youth Ed</v>
      </c>
      <c r="D90" s="1" t="s">
        <v>145</v>
      </c>
      <c r="E90" s="1" t="s">
        <v>20</v>
      </c>
      <c r="F90" s="1" t="s">
        <v>15</v>
      </c>
      <c r="G90" s="1" t="s">
        <v>124</v>
      </c>
      <c r="H90" s="1" t="s">
        <v>15</v>
      </c>
      <c r="I90" s="1" t="s">
        <v>124</v>
      </c>
      <c r="J90" s="1" t="s">
        <v>125</v>
      </c>
      <c r="K90" s="1" t="s">
        <v>132</v>
      </c>
      <c r="L90" s="1" t="s">
        <v>133</v>
      </c>
      <c r="M90" s="1">
        <f t="shared" si="8"/>
        <v>36</v>
      </c>
    </row>
    <row r="91" spans="1:13" x14ac:dyDescent="0.2">
      <c r="A91" s="1" t="s">
        <v>72</v>
      </c>
      <c r="B91" s="1" t="str">
        <f t="shared" si="9"/>
        <v>Operations</v>
      </c>
      <c r="C91" s="1" t="str">
        <f t="shared" si="10"/>
        <v>Youth Ed</v>
      </c>
      <c r="D91" s="1" t="s">
        <v>146</v>
      </c>
      <c r="E91" s="1" t="s">
        <v>20</v>
      </c>
      <c r="F91" s="1" t="s">
        <v>15</v>
      </c>
      <c r="G91" s="1" t="s">
        <v>124</v>
      </c>
      <c r="H91" s="1" t="s">
        <v>15</v>
      </c>
      <c r="I91" s="1" t="s">
        <v>124</v>
      </c>
      <c r="J91" s="1" t="s">
        <v>125</v>
      </c>
      <c r="K91" s="1" t="s">
        <v>132</v>
      </c>
      <c r="L91" s="1" t="s">
        <v>133</v>
      </c>
      <c r="M91" s="1">
        <f t="shared" si="8"/>
        <v>36</v>
      </c>
    </row>
    <row r="92" spans="1:13" x14ac:dyDescent="0.2">
      <c r="A92" s="1" t="s">
        <v>72</v>
      </c>
      <c r="B92" s="1" t="str">
        <f t="shared" si="9"/>
        <v>Operations</v>
      </c>
      <c r="C92" s="1" t="str">
        <f t="shared" si="10"/>
        <v>Youth Ed</v>
      </c>
      <c r="D92" s="1" t="s">
        <v>147</v>
      </c>
      <c r="E92" s="1" t="s">
        <v>20</v>
      </c>
      <c r="F92" s="1" t="s">
        <v>15</v>
      </c>
      <c r="G92" s="1" t="s">
        <v>124</v>
      </c>
      <c r="H92" s="1" t="s">
        <v>15</v>
      </c>
      <c r="I92" s="1" t="s">
        <v>124</v>
      </c>
      <c r="J92" s="1" t="s">
        <v>125</v>
      </c>
      <c r="K92" s="1" t="s">
        <v>132</v>
      </c>
      <c r="L92" s="1" t="s">
        <v>133</v>
      </c>
      <c r="M92" s="1">
        <f t="shared" si="8"/>
        <v>36</v>
      </c>
    </row>
    <row r="93" spans="1:13" x14ac:dyDescent="0.2">
      <c r="A93" s="1" t="s">
        <v>72</v>
      </c>
      <c r="B93" s="1" t="str">
        <f t="shared" si="9"/>
        <v>Operations</v>
      </c>
      <c r="C93" s="1" t="str">
        <f t="shared" si="10"/>
        <v>Youth Ed</v>
      </c>
      <c r="D93" s="1" t="s">
        <v>148</v>
      </c>
      <c r="E93" s="1" t="s">
        <v>20</v>
      </c>
      <c r="F93" s="1" t="s">
        <v>15</v>
      </c>
      <c r="G93" s="1" t="s">
        <v>124</v>
      </c>
      <c r="H93" s="1" t="s">
        <v>15</v>
      </c>
      <c r="I93" s="1" t="s">
        <v>124</v>
      </c>
      <c r="J93" s="1" t="s">
        <v>125</v>
      </c>
      <c r="K93" s="1" t="s">
        <v>132</v>
      </c>
      <c r="L93" s="1" t="s">
        <v>133</v>
      </c>
      <c r="M93" s="1">
        <f t="shared" si="8"/>
        <v>36</v>
      </c>
    </row>
    <row r="94" spans="1:13" x14ac:dyDescent="0.2">
      <c r="A94" s="1" t="s">
        <v>72</v>
      </c>
      <c r="B94" s="1" t="str">
        <f t="shared" si="9"/>
        <v>Operations</v>
      </c>
      <c r="C94" s="1" t="str">
        <f t="shared" si="10"/>
        <v>Youth Ed</v>
      </c>
      <c r="D94" s="1" t="s">
        <v>149</v>
      </c>
      <c r="E94" s="1" t="s">
        <v>20</v>
      </c>
      <c r="F94" s="1" t="s">
        <v>15</v>
      </c>
      <c r="G94" s="1" t="s">
        <v>124</v>
      </c>
      <c r="H94" s="1" t="s">
        <v>15</v>
      </c>
      <c r="I94" s="1" t="s">
        <v>124</v>
      </c>
      <c r="J94" s="1" t="s">
        <v>125</v>
      </c>
      <c r="K94" s="1" t="s">
        <v>132</v>
      </c>
      <c r="L94" s="1" t="s">
        <v>133</v>
      </c>
      <c r="M94" s="1">
        <f t="shared" si="8"/>
        <v>36</v>
      </c>
    </row>
    <row r="95" spans="1:13" x14ac:dyDescent="0.2">
      <c r="A95" s="1" t="s">
        <v>72</v>
      </c>
      <c r="B95" s="1" t="str">
        <f t="shared" si="9"/>
        <v>Mission</v>
      </c>
      <c r="C95" s="1" t="str">
        <f t="shared" si="10"/>
        <v>M&amp;B</v>
      </c>
      <c r="D95" s="1" t="s">
        <v>150</v>
      </c>
      <c r="E95" s="1" t="s">
        <v>57</v>
      </c>
      <c r="F95" s="1" t="s">
        <v>28</v>
      </c>
      <c r="G95" s="1" t="s">
        <v>151</v>
      </c>
      <c r="H95" s="1" t="s">
        <v>152</v>
      </c>
      <c r="I95" s="1" t="s">
        <v>151</v>
      </c>
      <c r="J95" s="1" t="s">
        <v>153</v>
      </c>
      <c r="K95" s="1" t="s">
        <v>153</v>
      </c>
      <c r="L95" s="1" t="s">
        <v>28</v>
      </c>
      <c r="M95" s="1">
        <f t="shared" si="8"/>
        <v>37</v>
      </c>
    </row>
    <row r="96" spans="1:13" x14ac:dyDescent="0.2">
      <c r="A96" s="1" t="s">
        <v>72</v>
      </c>
      <c r="B96" s="1" t="str">
        <f t="shared" si="9"/>
        <v>Mission</v>
      </c>
      <c r="C96" s="1" t="str">
        <f t="shared" si="10"/>
        <v>M&amp;B</v>
      </c>
      <c r="D96" s="1" t="s">
        <v>154</v>
      </c>
      <c r="E96" s="1" t="s">
        <v>57</v>
      </c>
      <c r="F96" s="1" t="s">
        <v>28</v>
      </c>
      <c r="G96" s="1" t="s">
        <v>151</v>
      </c>
      <c r="H96" s="1" t="s">
        <v>152</v>
      </c>
      <c r="I96" s="1" t="s">
        <v>151</v>
      </c>
      <c r="J96" s="1" t="s">
        <v>153</v>
      </c>
      <c r="K96" s="1" t="s">
        <v>153</v>
      </c>
      <c r="L96" s="1" t="s">
        <v>28</v>
      </c>
      <c r="M96" s="1">
        <f t="shared" si="8"/>
        <v>37</v>
      </c>
    </row>
    <row r="97" spans="1:13" x14ac:dyDescent="0.2">
      <c r="A97" s="1" t="s">
        <v>72</v>
      </c>
      <c r="B97" s="1" t="str">
        <f t="shared" si="9"/>
        <v>Mission</v>
      </c>
      <c r="C97" s="1" t="str">
        <f t="shared" si="10"/>
        <v>M&amp;B</v>
      </c>
      <c r="D97" s="1" t="s">
        <v>155</v>
      </c>
      <c r="E97" s="1" t="s">
        <v>57</v>
      </c>
      <c r="F97" s="1" t="s">
        <v>28</v>
      </c>
      <c r="G97" s="1" t="s">
        <v>151</v>
      </c>
      <c r="H97" s="1" t="s">
        <v>152</v>
      </c>
      <c r="I97" s="1" t="s">
        <v>151</v>
      </c>
      <c r="J97" s="1" t="s">
        <v>153</v>
      </c>
      <c r="K97" s="1" t="s">
        <v>153</v>
      </c>
      <c r="L97" s="1" t="s">
        <v>28</v>
      </c>
      <c r="M97" s="1">
        <f t="shared" si="8"/>
        <v>37</v>
      </c>
    </row>
    <row r="98" spans="1:13" x14ac:dyDescent="0.2">
      <c r="A98" s="1" t="s">
        <v>72</v>
      </c>
      <c r="B98" s="1" t="str">
        <f t="shared" si="9"/>
        <v>Mission</v>
      </c>
      <c r="C98" s="1" t="str">
        <f t="shared" si="10"/>
        <v>M&amp;B</v>
      </c>
      <c r="D98" s="1" t="s">
        <v>156</v>
      </c>
      <c r="E98" s="1" t="s">
        <v>57</v>
      </c>
      <c r="F98" s="1" t="s">
        <v>28</v>
      </c>
      <c r="G98" s="1" t="s">
        <v>151</v>
      </c>
      <c r="H98" s="1" t="s">
        <v>152</v>
      </c>
      <c r="I98" s="1" t="s">
        <v>151</v>
      </c>
      <c r="J98" s="1" t="s">
        <v>153</v>
      </c>
      <c r="K98" s="1" t="s">
        <v>153</v>
      </c>
      <c r="L98" s="1" t="s">
        <v>28</v>
      </c>
      <c r="M98" s="1">
        <f t="shared" si="8"/>
        <v>37</v>
      </c>
    </row>
    <row r="99" spans="1:13" x14ac:dyDescent="0.2">
      <c r="A99" s="1" t="s">
        <v>72</v>
      </c>
      <c r="B99" s="1" t="str">
        <f t="shared" si="9"/>
        <v>Mission</v>
      </c>
      <c r="C99" s="1" t="str">
        <f t="shared" si="10"/>
        <v>M&amp;B</v>
      </c>
      <c r="D99" s="1" t="s">
        <v>157</v>
      </c>
      <c r="E99" s="1" t="s">
        <v>57</v>
      </c>
      <c r="F99" s="1" t="s">
        <v>28</v>
      </c>
      <c r="G99" s="1" t="s">
        <v>151</v>
      </c>
      <c r="H99" s="1" t="s">
        <v>152</v>
      </c>
      <c r="I99" s="1" t="s">
        <v>151</v>
      </c>
      <c r="J99" s="1" t="s">
        <v>153</v>
      </c>
      <c r="K99" s="1" t="s">
        <v>153</v>
      </c>
      <c r="L99" s="1" t="s">
        <v>28</v>
      </c>
      <c r="M99" s="1">
        <f t="shared" ref="M99:M130" si="11">IF(B99=B98,M98,M98+1)</f>
        <v>37</v>
      </c>
    </row>
    <row r="100" spans="1:13" x14ac:dyDescent="0.2">
      <c r="A100" s="1" t="s">
        <v>72</v>
      </c>
      <c r="B100" s="1" t="str">
        <f t="shared" si="9"/>
        <v>Mission</v>
      </c>
      <c r="C100" s="1" t="str">
        <f t="shared" si="10"/>
        <v>M&amp;B</v>
      </c>
      <c r="D100" s="1" t="s">
        <v>158</v>
      </c>
      <c r="E100" s="1" t="s">
        <v>57</v>
      </c>
      <c r="F100" s="1" t="s">
        <v>28</v>
      </c>
      <c r="G100" s="1" t="s">
        <v>151</v>
      </c>
      <c r="H100" s="1" t="s">
        <v>152</v>
      </c>
      <c r="I100" s="1" t="s">
        <v>151</v>
      </c>
      <c r="J100" s="1" t="s">
        <v>153</v>
      </c>
      <c r="K100" s="1" t="s">
        <v>153</v>
      </c>
      <c r="L100" s="1" t="s">
        <v>28</v>
      </c>
      <c r="M100" s="1">
        <f t="shared" si="11"/>
        <v>37</v>
      </c>
    </row>
    <row r="101" spans="1:13" x14ac:dyDescent="0.2">
      <c r="A101" s="1" t="s">
        <v>72</v>
      </c>
      <c r="B101" s="1" t="str">
        <f t="shared" ref="B101:B164" si="12">F101</f>
        <v>Mission</v>
      </c>
      <c r="C101" s="1" t="str">
        <f t="shared" ref="C101:C164" si="13">G101</f>
        <v>M&amp;B</v>
      </c>
      <c r="D101" s="1" t="s">
        <v>159</v>
      </c>
      <c r="E101" s="1" t="s">
        <v>57</v>
      </c>
      <c r="F101" s="1" t="s">
        <v>28</v>
      </c>
      <c r="G101" s="1" t="s">
        <v>151</v>
      </c>
      <c r="H101" s="1" t="s">
        <v>152</v>
      </c>
      <c r="I101" s="1" t="s">
        <v>151</v>
      </c>
      <c r="J101" s="1" t="s">
        <v>153</v>
      </c>
      <c r="K101" s="1" t="s">
        <v>153</v>
      </c>
      <c r="L101" s="1" t="s">
        <v>28</v>
      </c>
      <c r="M101" s="1">
        <f t="shared" si="11"/>
        <v>37</v>
      </c>
    </row>
    <row r="102" spans="1:13" x14ac:dyDescent="0.2">
      <c r="A102" s="1" t="s">
        <v>72</v>
      </c>
      <c r="B102" s="1" t="str">
        <f t="shared" si="12"/>
        <v>Mission</v>
      </c>
      <c r="C102" s="1" t="str">
        <f t="shared" si="13"/>
        <v>M&amp;B</v>
      </c>
      <c r="D102" s="1" t="s">
        <v>160</v>
      </c>
      <c r="E102" s="1" t="s">
        <v>57</v>
      </c>
      <c r="F102" s="1" t="s">
        <v>28</v>
      </c>
      <c r="G102" s="1" t="s">
        <v>151</v>
      </c>
      <c r="H102" s="1" t="s">
        <v>152</v>
      </c>
      <c r="I102" s="1" t="s">
        <v>151</v>
      </c>
      <c r="J102" s="1" t="s">
        <v>153</v>
      </c>
      <c r="K102" s="1" t="s">
        <v>153</v>
      </c>
      <c r="L102" s="1" t="s">
        <v>28</v>
      </c>
      <c r="M102" s="1">
        <f t="shared" si="11"/>
        <v>37</v>
      </c>
    </row>
    <row r="103" spans="1:13" x14ac:dyDescent="0.2">
      <c r="A103" s="1" t="s">
        <v>72</v>
      </c>
      <c r="B103" s="1" t="str">
        <f t="shared" si="12"/>
        <v>Mission</v>
      </c>
      <c r="C103" s="1" t="str">
        <f t="shared" si="13"/>
        <v>M&amp;B</v>
      </c>
      <c r="D103" s="1" t="s">
        <v>161</v>
      </c>
      <c r="E103" t="s">
        <v>14</v>
      </c>
      <c r="F103" s="1" t="s">
        <v>28</v>
      </c>
      <c r="G103" s="1" t="s">
        <v>151</v>
      </c>
      <c r="H103" s="1" t="s">
        <v>162</v>
      </c>
      <c r="I103" s="1" t="s">
        <v>151</v>
      </c>
      <c r="J103" s="1" t="s">
        <v>153</v>
      </c>
      <c r="K103" s="1" t="s">
        <v>153</v>
      </c>
      <c r="L103" s="1" t="s">
        <v>28</v>
      </c>
      <c r="M103" s="1">
        <f t="shared" si="11"/>
        <v>37</v>
      </c>
    </row>
    <row r="104" spans="1:13" x14ac:dyDescent="0.2">
      <c r="A104" s="1" t="s">
        <v>72</v>
      </c>
      <c r="B104" s="1" t="str">
        <f t="shared" si="12"/>
        <v>Mission</v>
      </c>
      <c r="C104" s="1" t="str">
        <f t="shared" si="13"/>
        <v>UP Mission</v>
      </c>
      <c r="D104" s="1" t="s">
        <v>163</v>
      </c>
      <c r="E104" s="1" t="s">
        <v>51</v>
      </c>
      <c r="F104" s="1" t="s">
        <v>28</v>
      </c>
      <c r="G104" s="1" t="s">
        <v>164</v>
      </c>
      <c r="H104" s="1" t="s">
        <v>165</v>
      </c>
      <c r="I104" s="1" t="s">
        <v>164</v>
      </c>
      <c r="J104" s="1" t="s">
        <v>153</v>
      </c>
      <c r="K104" s="1" t="s">
        <v>153</v>
      </c>
      <c r="L104" s="1" t="s">
        <v>28</v>
      </c>
      <c r="M104" s="1">
        <f t="shared" si="11"/>
        <v>37</v>
      </c>
    </row>
    <row r="105" spans="1:13" x14ac:dyDescent="0.2">
      <c r="A105" s="1" t="s">
        <v>72</v>
      </c>
      <c r="B105" s="1" t="str">
        <f t="shared" si="12"/>
        <v>Mission</v>
      </c>
      <c r="C105" s="1" t="str">
        <f t="shared" si="13"/>
        <v>M&amp;B</v>
      </c>
      <c r="D105" t="s">
        <v>166</v>
      </c>
      <c r="E105" t="s">
        <v>14</v>
      </c>
      <c r="F105" s="1" t="s">
        <v>28</v>
      </c>
      <c r="G105" s="1" t="s">
        <v>151</v>
      </c>
      <c r="H105" s="1" t="s">
        <v>152</v>
      </c>
      <c r="I105" s="1" t="s">
        <v>151</v>
      </c>
      <c r="J105" s="1" t="s">
        <v>153</v>
      </c>
      <c r="K105" s="1" t="s">
        <v>153</v>
      </c>
      <c r="L105" s="1" t="s">
        <v>28</v>
      </c>
      <c r="M105" s="1">
        <f t="shared" si="11"/>
        <v>37</v>
      </c>
    </row>
    <row r="106" spans="1:13" ht="14.25" x14ac:dyDescent="0.2">
      <c r="A106" s="1" t="s">
        <v>72</v>
      </c>
      <c r="B106" s="1" t="str">
        <f t="shared" si="12"/>
        <v>Mission</v>
      </c>
      <c r="C106" s="1" t="str">
        <f t="shared" si="13"/>
        <v>M&amp;B</v>
      </c>
      <c r="D106" s="7" t="s">
        <v>167</v>
      </c>
      <c r="E106" s="1" t="s">
        <v>57</v>
      </c>
      <c r="F106" s="1" t="s">
        <v>28</v>
      </c>
      <c r="G106" s="1" t="s">
        <v>151</v>
      </c>
      <c r="H106" s="1" t="s">
        <v>152</v>
      </c>
      <c r="I106" s="1" t="s">
        <v>151</v>
      </c>
      <c r="J106" s="1" t="s">
        <v>153</v>
      </c>
      <c r="K106" s="1" t="s">
        <v>153</v>
      </c>
      <c r="L106" s="1" t="s">
        <v>28</v>
      </c>
      <c r="M106" s="1">
        <f t="shared" si="11"/>
        <v>37</v>
      </c>
    </row>
    <row r="107" spans="1:13" x14ac:dyDescent="0.2">
      <c r="A107" s="1" t="s">
        <v>72</v>
      </c>
      <c r="B107" s="1" t="str">
        <f t="shared" si="12"/>
        <v>Mission</v>
      </c>
      <c r="C107" s="1" t="str">
        <f t="shared" si="13"/>
        <v>M&amp;B</v>
      </c>
      <c r="D107" s="1" t="s">
        <v>168</v>
      </c>
      <c r="E107" s="1" t="s">
        <v>57</v>
      </c>
      <c r="F107" s="1" t="s">
        <v>28</v>
      </c>
      <c r="G107" s="1" t="s">
        <v>151</v>
      </c>
      <c r="H107" s="1" t="s">
        <v>152</v>
      </c>
      <c r="I107" s="1" t="s">
        <v>151</v>
      </c>
      <c r="J107" s="1" t="s">
        <v>169</v>
      </c>
      <c r="K107" s="1" t="s">
        <v>170</v>
      </c>
      <c r="L107" s="1" t="s">
        <v>28</v>
      </c>
      <c r="M107" s="1">
        <f t="shared" si="11"/>
        <v>37</v>
      </c>
    </row>
    <row r="108" spans="1:13" x14ac:dyDescent="0.2">
      <c r="A108" s="1" t="s">
        <v>72</v>
      </c>
      <c r="B108" s="1" t="str">
        <f t="shared" si="12"/>
        <v>Mission</v>
      </c>
      <c r="C108" s="1" t="str">
        <f t="shared" si="13"/>
        <v>M&amp;B</v>
      </c>
      <c r="D108" t="s">
        <v>171</v>
      </c>
      <c r="E108" s="1" t="s">
        <v>57</v>
      </c>
      <c r="F108" s="1" t="s">
        <v>28</v>
      </c>
      <c r="G108" s="1" t="s">
        <v>151</v>
      </c>
      <c r="H108" s="1" t="s">
        <v>152</v>
      </c>
      <c r="I108" s="1" t="s">
        <v>151</v>
      </c>
      <c r="J108" s="1" t="s">
        <v>169</v>
      </c>
      <c r="K108" s="1" t="s">
        <v>170</v>
      </c>
      <c r="L108" s="1" t="s">
        <v>28</v>
      </c>
      <c r="M108" s="1">
        <f t="shared" si="11"/>
        <v>37</v>
      </c>
    </row>
    <row r="109" spans="1:13" x14ac:dyDescent="0.2">
      <c r="A109" s="1" t="s">
        <v>72</v>
      </c>
      <c r="B109" s="1" t="str">
        <f t="shared" si="12"/>
        <v>Mission</v>
      </c>
      <c r="C109" s="1" t="str">
        <f t="shared" si="13"/>
        <v>M&amp;B</v>
      </c>
      <c r="D109" s="1" t="s">
        <v>172</v>
      </c>
      <c r="E109" s="1" t="s">
        <v>57</v>
      </c>
      <c r="F109" s="1" t="s">
        <v>28</v>
      </c>
      <c r="G109" s="1" t="s">
        <v>151</v>
      </c>
      <c r="H109" s="1" t="s">
        <v>152</v>
      </c>
      <c r="I109" s="1" t="s">
        <v>151</v>
      </c>
      <c r="J109" s="1" t="s">
        <v>169</v>
      </c>
      <c r="K109" s="1" t="s">
        <v>170</v>
      </c>
      <c r="L109" s="1" t="s">
        <v>28</v>
      </c>
      <c r="M109" s="1">
        <f t="shared" si="11"/>
        <v>37</v>
      </c>
    </row>
    <row r="110" spans="1:13" x14ac:dyDescent="0.2">
      <c r="A110" s="1" t="s">
        <v>72</v>
      </c>
      <c r="B110" s="1" t="str">
        <f t="shared" si="12"/>
        <v>Mission</v>
      </c>
      <c r="C110" s="1" t="str">
        <f t="shared" si="13"/>
        <v>M&amp;B</v>
      </c>
      <c r="D110" t="s">
        <v>173</v>
      </c>
      <c r="E110" s="1" t="s">
        <v>57</v>
      </c>
      <c r="F110" s="1" t="s">
        <v>28</v>
      </c>
      <c r="G110" s="1" t="s">
        <v>151</v>
      </c>
      <c r="H110" s="1" t="s">
        <v>152</v>
      </c>
      <c r="I110" s="1" t="s">
        <v>151</v>
      </c>
      <c r="J110" s="1" t="s">
        <v>169</v>
      </c>
      <c r="K110" s="1" t="s">
        <v>170</v>
      </c>
      <c r="L110" s="1" t="s">
        <v>28</v>
      </c>
      <c r="M110" s="1">
        <f t="shared" si="11"/>
        <v>37</v>
      </c>
    </row>
    <row r="111" spans="1:13" x14ac:dyDescent="0.2">
      <c r="A111" s="1" t="s">
        <v>72</v>
      </c>
      <c r="B111" s="1" t="str">
        <f t="shared" si="12"/>
        <v>Mission</v>
      </c>
      <c r="C111" s="1" t="str">
        <f t="shared" si="13"/>
        <v>M&amp;B</v>
      </c>
      <c r="D111" s="1" t="s">
        <v>174</v>
      </c>
      <c r="E111" s="1" t="s">
        <v>142</v>
      </c>
      <c r="F111" s="1" t="s">
        <v>28</v>
      </c>
      <c r="G111" s="1" t="s">
        <v>151</v>
      </c>
      <c r="H111" s="1" t="s">
        <v>143</v>
      </c>
      <c r="I111" s="1" t="s">
        <v>151</v>
      </c>
      <c r="J111" s="1" t="s">
        <v>169</v>
      </c>
      <c r="K111" s="1" t="s">
        <v>175</v>
      </c>
      <c r="L111" s="1" t="s">
        <v>28</v>
      </c>
      <c r="M111" s="1">
        <f t="shared" si="11"/>
        <v>37</v>
      </c>
    </row>
    <row r="112" spans="1:13" x14ac:dyDescent="0.2">
      <c r="A112" s="1" t="s">
        <v>72</v>
      </c>
      <c r="B112" s="1" t="str">
        <f t="shared" si="12"/>
        <v>Mission</v>
      </c>
      <c r="C112" s="1" t="str">
        <f t="shared" si="13"/>
        <v>M&amp;B</v>
      </c>
      <c r="D112" s="1" t="s">
        <v>176</v>
      </c>
      <c r="E112" s="1" t="s">
        <v>57</v>
      </c>
      <c r="F112" s="1" t="s">
        <v>28</v>
      </c>
      <c r="G112" s="1" t="s">
        <v>151</v>
      </c>
      <c r="H112" s="1" t="s">
        <v>152</v>
      </c>
      <c r="I112" s="1" t="s">
        <v>151</v>
      </c>
      <c r="J112" s="1" t="s">
        <v>169</v>
      </c>
      <c r="K112" s="1" t="s">
        <v>175</v>
      </c>
      <c r="L112" s="1" t="s">
        <v>28</v>
      </c>
      <c r="M112" s="1">
        <f t="shared" si="11"/>
        <v>37</v>
      </c>
    </row>
    <row r="113" spans="1:13" x14ac:dyDescent="0.2">
      <c r="A113" s="1" t="s">
        <v>72</v>
      </c>
      <c r="B113" s="1" t="str">
        <f t="shared" si="12"/>
        <v>Mission</v>
      </c>
      <c r="C113" s="1" t="str">
        <f t="shared" si="13"/>
        <v>M&amp;B</v>
      </c>
      <c r="D113" s="1" t="s">
        <v>177</v>
      </c>
      <c r="E113" s="1" t="s">
        <v>57</v>
      </c>
      <c r="F113" s="1" t="s">
        <v>28</v>
      </c>
      <c r="G113" s="1" t="s">
        <v>151</v>
      </c>
      <c r="H113" s="1" t="s">
        <v>152</v>
      </c>
      <c r="I113" s="1" t="s">
        <v>151</v>
      </c>
      <c r="J113" s="1" t="s">
        <v>169</v>
      </c>
      <c r="K113" s="1" t="s">
        <v>175</v>
      </c>
      <c r="L113" s="1" t="s">
        <v>28</v>
      </c>
      <c r="M113" s="1">
        <f t="shared" si="11"/>
        <v>37</v>
      </c>
    </row>
    <row r="114" spans="1:13" x14ac:dyDescent="0.2">
      <c r="A114" s="1" t="s">
        <v>72</v>
      </c>
      <c r="B114" s="1" t="str">
        <f t="shared" si="12"/>
        <v>Mission</v>
      </c>
      <c r="C114" s="1" t="str">
        <f t="shared" si="13"/>
        <v>M&amp;B</v>
      </c>
      <c r="D114" s="1" t="s">
        <v>178</v>
      </c>
      <c r="E114" s="1" t="s">
        <v>57</v>
      </c>
      <c r="F114" s="1" t="s">
        <v>28</v>
      </c>
      <c r="G114" s="1" t="s">
        <v>151</v>
      </c>
      <c r="H114" s="1" t="s">
        <v>152</v>
      </c>
      <c r="I114" s="1" t="s">
        <v>151</v>
      </c>
      <c r="J114" s="1" t="s">
        <v>169</v>
      </c>
      <c r="K114" s="1" t="s">
        <v>175</v>
      </c>
      <c r="L114" s="1" t="s">
        <v>28</v>
      </c>
      <c r="M114" s="1">
        <f t="shared" si="11"/>
        <v>37</v>
      </c>
    </row>
    <row r="115" spans="1:13" x14ac:dyDescent="0.2">
      <c r="A115" s="1" t="s">
        <v>72</v>
      </c>
      <c r="B115" s="1" t="str">
        <f t="shared" si="12"/>
        <v>Personnel</v>
      </c>
      <c r="C115" s="1" t="str">
        <f t="shared" si="13"/>
        <v>Wednesday lunch coordinator</v>
      </c>
      <c r="D115" s="1" t="s">
        <v>179</v>
      </c>
      <c r="E115" s="1" t="s">
        <v>142</v>
      </c>
      <c r="F115" s="1" t="s">
        <v>74</v>
      </c>
      <c r="G115" s="1" t="s">
        <v>180</v>
      </c>
      <c r="H115" s="1" t="s">
        <v>74</v>
      </c>
      <c r="I115" s="1" t="s">
        <v>180</v>
      </c>
      <c r="J115" s="1" t="s">
        <v>169</v>
      </c>
      <c r="K115" s="1" t="s">
        <v>175</v>
      </c>
      <c r="L115" s="1" t="s">
        <v>74</v>
      </c>
      <c r="M115" s="1">
        <f t="shared" si="11"/>
        <v>38</v>
      </c>
    </row>
    <row r="116" spans="1:13" x14ac:dyDescent="0.2">
      <c r="A116" s="1" t="s">
        <v>72</v>
      </c>
      <c r="B116" s="1" t="str">
        <f t="shared" si="12"/>
        <v>Personnel</v>
      </c>
      <c r="C116" s="1" t="str">
        <f t="shared" si="13"/>
        <v>Wednesday lunch coordinator</v>
      </c>
      <c r="D116" s="1" t="s">
        <v>181</v>
      </c>
      <c r="E116" s="1" t="s">
        <v>142</v>
      </c>
      <c r="F116" s="1" t="s">
        <v>74</v>
      </c>
      <c r="G116" s="1" t="s">
        <v>180</v>
      </c>
      <c r="H116" s="1" t="s">
        <v>74</v>
      </c>
      <c r="I116" s="1" t="s">
        <v>180</v>
      </c>
      <c r="J116" s="1" t="s">
        <v>169</v>
      </c>
      <c r="K116" s="1" t="s">
        <v>175</v>
      </c>
      <c r="L116" s="1" t="s">
        <v>74</v>
      </c>
      <c r="M116" s="1">
        <f t="shared" si="11"/>
        <v>38</v>
      </c>
    </row>
    <row r="117" spans="1:13" x14ac:dyDescent="0.2">
      <c r="A117" s="1" t="s">
        <v>72</v>
      </c>
      <c r="B117" s="1" t="str">
        <f t="shared" si="12"/>
        <v>Personnel</v>
      </c>
      <c r="C117" s="1" t="str">
        <f t="shared" si="13"/>
        <v>Wednesday lunch coordinator</v>
      </c>
      <c r="D117" t="s">
        <v>182</v>
      </c>
      <c r="E117" s="1" t="s">
        <v>142</v>
      </c>
      <c r="F117" s="1" t="s">
        <v>74</v>
      </c>
      <c r="G117" s="1" t="s">
        <v>180</v>
      </c>
      <c r="H117" s="1" t="s">
        <v>74</v>
      </c>
      <c r="I117" s="1" t="s">
        <v>180</v>
      </c>
      <c r="J117" s="1" t="s">
        <v>169</v>
      </c>
      <c r="K117" s="1" t="s">
        <v>175</v>
      </c>
      <c r="L117" s="1" t="s">
        <v>74</v>
      </c>
      <c r="M117" s="1">
        <f t="shared" si="11"/>
        <v>38</v>
      </c>
    </row>
    <row r="118" spans="1:13" x14ac:dyDescent="0.2">
      <c r="A118" s="1" t="s">
        <v>72</v>
      </c>
      <c r="B118" s="1" t="str">
        <f t="shared" si="12"/>
        <v>Operations</v>
      </c>
      <c r="C118" s="1" t="str">
        <f t="shared" si="13"/>
        <v>Adult Ed</v>
      </c>
      <c r="D118" s="1" t="s">
        <v>183</v>
      </c>
      <c r="E118" s="1" t="s">
        <v>20</v>
      </c>
      <c r="F118" s="1" t="s">
        <v>15</v>
      </c>
      <c r="G118" s="1" t="s">
        <v>184</v>
      </c>
      <c r="H118" s="1" t="s">
        <v>15</v>
      </c>
      <c r="I118" s="1" t="s">
        <v>184</v>
      </c>
      <c r="J118" s="1" t="s">
        <v>185</v>
      </c>
      <c r="K118" s="1" t="s">
        <v>185</v>
      </c>
      <c r="L118" s="1" t="s">
        <v>133</v>
      </c>
      <c r="M118" s="1">
        <f t="shared" si="11"/>
        <v>39</v>
      </c>
    </row>
    <row r="119" spans="1:13" x14ac:dyDescent="0.2">
      <c r="A119" s="1" t="s">
        <v>72</v>
      </c>
      <c r="B119" s="1" t="str">
        <f t="shared" si="12"/>
        <v>Operations</v>
      </c>
      <c r="C119" s="1" t="str">
        <f t="shared" si="13"/>
        <v>Adult Ed</v>
      </c>
      <c r="D119" s="1" t="s">
        <v>186</v>
      </c>
      <c r="E119" s="1" t="s">
        <v>20</v>
      </c>
      <c r="F119" s="1" t="s">
        <v>15</v>
      </c>
      <c r="G119" s="1" t="s">
        <v>184</v>
      </c>
      <c r="H119" s="1" t="s">
        <v>15</v>
      </c>
      <c r="I119" s="1" t="s">
        <v>184</v>
      </c>
      <c r="J119" s="1" t="s">
        <v>185</v>
      </c>
      <c r="K119" s="1" t="s">
        <v>185</v>
      </c>
      <c r="L119" s="1" t="s">
        <v>133</v>
      </c>
      <c r="M119" s="1">
        <f t="shared" si="11"/>
        <v>39</v>
      </c>
    </row>
    <row r="120" spans="1:13" x14ac:dyDescent="0.2">
      <c r="A120" s="1" t="s">
        <v>72</v>
      </c>
      <c r="B120" s="1" t="str">
        <f t="shared" si="12"/>
        <v>Operations</v>
      </c>
      <c r="C120" s="1" t="str">
        <f t="shared" si="13"/>
        <v>Adult Ed</v>
      </c>
      <c r="D120" t="s">
        <v>187</v>
      </c>
      <c r="E120" s="1" t="s">
        <v>14</v>
      </c>
      <c r="F120" s="1" t="s">
        <v>15</v>
      </c>
      <c r="G120" s="1" t="s">
        <v>184</v>
      </c>
      <c r="H120" s="1" t="s">
        <v>15</v>
      </c>
      <c r="I120" s="1" t="s">
        <v>184</v>
      </c>
      <c r="J120" s="1" t="s">
        <v>185</v>
      </c>
      <c r="K120" s="1" t="s">
        <v>185</v>
      </c>
      <c r="L120" s="1" t="s">
        <v>133</v>
      </c>
      <c r="M120" s="1">
        <f t="shared" si="11"/>
        <v>39</v>
      </c>
    </row>
    <row r="121" spans="1:13" x14ac:dyDescent="0.2">
      <c r="A121" s="1" t="s">
        <v>72</v>
      </c>
      <c r="B121" s="1" t="str">
        <f t="shared" si="12"/>
        <v>Operations</v>
      </c>
      <c r="C121" s="1" t="str">
        <f t="shared" si="13"/>
        <v>Adult Ed</v>
      </c>
      <c r="D121" s="1" t="s">
        <v>188</v>
      </c>
      <c r="E121" s="1" t="s">
        <v>20</v>
      </c>
      <c r="F121" s="1" t="s">
        <v>15</v>
      </c>
      <c r="G121" s="1" t="s">
        <v>184</v>
      </c>
      <c r="H121" s="1" t="s">
        <v>15</v>
      </c>
      <c r="I121" s="1" t="s">
        <v>184</v>
      </c>
      <c r="J121" s="1" t="s">
        <v>185</v>
      </c>
      <c r="K121" s="1" t="s">
        <v>185</v>
      </c>
      <c r="L121" s="1" t="s">
        <v>133</v>
      </c>
      <c r="M121" s="1">
        <f t="shared" si="11"/>
        <v>39</v>
      </c>
    </row>
    <row r="122" spans="1:13" x14ac:dyDescent="0.2">
      <c r="A122" s="1" t="s">
        <v>72</v>
      </c>
      <c r="B122" s="1" t="str">
        <f t="shared" si="12"/>
        <v>Operations</v>
      </c>
      <c r="C122" s="1" t="str">
        <f t="shared" si="13"/>
        <v>Adult Ed</v>
      </c>
      <c r="D122" t="s">
        <v>189</v>
      </c>
      <c r="E122" s="1" t="s">
        <v>20</v>
      </c>
      <c r="F122" s="1" t="s">
        <v>15</v>
      </c>
      <c r="G122" s="1" t="s">
        <v>184</v>
      </c>
      <c r="H122" s="1" t="s">
        <v>15</v>
      </c>
      <c r="I122" s="1" t="s">
        <v>184</v>
      </c>
      <c r="J122" s="1" t="s">
        <v>185</v>
      </c>
      <c r="K122" s="1" t="s">
        <v>185</v>
      </c>
      <c r="L122" s="1" t="s">
        <v>133</v>
      </c>
      <c r="M122" s="1">
        <f t="shared" si="11"/>
        <v>39</v>
      </c>
    </row>
    <row r="123" spans="1:13" x14ac:dyDescent="0.2">
      <c r="A123" s="1" t="s">
        <v>72</v>
      </c>
      <c r="B123" s="1" t="str">
        <f t="shared" si="12"/>
        <v>Operations</v>
      </c>
      <c r="C123" s="1" t="str">
        <f t="shared" si="13"/>
        <v>Adult Ed</v>
      </c>
      <c r="D123" s="1" t="s">
        <v>190</v>
      </c>
      <c r="E123" s="1" t="s">
        <v>20</v>
      </c>
      <c r="F123" s="1" t="s">
        <v>15</v>
      </c>
      <c r="G123" s="1" t="s">
        <v>184</v>
      </c>
      <c r="H123" s="1" t="s">
        <v>15</v>
      </c>
      <c r="I123" s="1" t="s">
        <v>184</v>
      </c>
      <c r="J123" s="1" t="s">
        <v>185</v>
      </c>
      <c r="K123" s="1" t="s">
        <v>185</v>
      </c>
      <c r="L123" s="1" t="s">
        <v>133</v>
      </c>
      <c r="M123" s="1">
        <f t="shared" si="11"/>
        <v>39</v>
      </c>
    </row>
    <row r="124" spans="1:13" x14ac:dyDescent="0.2">
      <c r="A124" s="1" t="s">
        <v>72</v>
      </c>
      <c r="B124" s="1" t="str">
        <f t="shared" si="12"/>
        <v>Operations</v>
      </c>
      <c r="C124" s="1" t="str">
        <f t="shared" si="13"/>
        <v>Adult Ed</v>
      </c>
      <c r="D124" s="1" t="s">
        <v>191</v>
      </c>
      <c r="E124" s="1" t="s">
        <v>20</v>
      </c>
      <c r="F124" s="1" t="s">
        <v>15</v>
      </c>
      <c r="G124" s="1" t="s">
        <v>184</v>
      </c>
      <c r="H124" s="1" t="s">
        <v>15</v>
      </c>
      <c r="I124" s="1" t="s">
        <v>184</v>
      </c>
      <c r="J124" s="1" t="s">
        <v>185</v>
      </c>
      <c r="K124" s="1" t="s">
        <v>185</v>
      </c>
      <c r="L124" s="1" t="s">
        <v>133</v>
      </c>
      <c r="M124" s="1">
        <f t="shared" si="11"/>
        <v>39</v>
      </c>
    </row>
    <row r="125" spans="1:13" x14ac:dyDescent="0.2">
      <c r="A125" s="1" t="s">
        <v>72</v>
      </c>
      <c r="B125" s="1" t="str">
        <f t="shared" si="12"/>
        <v>Operations</v>
      </c>
      <c r="C125" s="1" t="str">
        <f t="shared" si="13"/>
        <v>Adult Ed</v>
      </c>
      <c r="D125" s="1" t="s">
        <v>192</v>
      </c>
      <c r="E125" s="1" t="s">
        <v>20</v>
      </c>
      <c r="F125" s="1" t="s">
        <v>15</v>
      </c>
      <c r="G125" s="1" t="s">
        <v>184</v>
      </c>
      <c r="H125" s="1" t="s">
        <v>15</v>
      </c>
      <c r="I125" s="1" t="s">
        <v>184</v>
      </c>
      <c r="J125" s="1" t="s">
        <v>185</v>
      </c>
      <c r="K125" s="1" t="s">
        <v>185</v>
      </c>
      <c r="L125" s="1" t="s">
        <v>133</v>
      </c>
      <c r="M125" s="1">
        <f t="shared" si="11"/>
        <v>39</v>
      </c>
    </row>
    <row r="126" spans="1:13" x14ac:dyDescent="0.2">
      <c r="A126" s="1" t="s">
        <v>72</v>
      </c>
      <c r="B126" s="1" t="str">
        <f t="shared" si="12"/>
        <v>Operations</v>
      </c>
      <c r="C126" s="1" t="str">
        <f t="shared" si="13"/>
        <v>Adult Ed</v>
      </c>
      <c r="D126" s="1" t="s">
        <v>193</v>
      </c>
      <c r="E126" s="1" t="s">
        <v>20</v>
      </c>
      <c r="F126" s="1" t="s">
        <v>15</v>
      </c>
      <c r="G126" s="1" t="s">
        <v>184</v>
      </c>
      <c r="H126" s="1" t="s">
        <v>15</v>
      </c>
      <c r="I126" s="1" t="s">
        <v>184</v>
      </c>
      <c r="J126" s="1" t="s">
        <v>185</v>
      </c>
      <c r="K126" s="1" t="s">
        <v>185</v>
      </c>
      <c r="L126" s="1" t="s">
        <v>133</v>
      </c>
      <c r="M126" s="1">
        <f t="shared" si="11"/>
        <v>39</v>
      </c>
    </row>
    <row r="127" spans="1:13" x14ac:dyDescent="0.2">
      <c r="A127" s="1" t="s">
        <v>72</v>
      </c>
      <c r="B127" s="1" t="str">
        <f t="shared" si="12"/>
        <v>Operations</v>
      </c>
      <c r="C127" s="1" t="str">
        <f t="shared" si="13"/>
        <v>Adult Ed</v>
      </c>
      <c r="D127" s="1" t="s">
        <v>194</v>
      </c>
      <c r="E127" s="1" t="s">
        <v>20</v>
      </c>
      <c r="F127" s="1" t="s">
        <v>15</v>
      </c>
      <c r="G127" s="1" t="s">
        <v>184</v>
      </c>
      <c r="H127" s="1" t="s">
        <v>15</v>
      </c>
      <c r="I127" s="1" t="s">
        <v>184</v>
      </c>
      <c r="J127" s="1" t="s">
        <v>185</v>
      </c>
      <c r="K127" s="1" t="s">
        <v>185</v>
      </c>
      <c r="L127" s="1" t="s">
        <v>133</v>
      </c>
      <c r="M127" s="1">
        <f t="shared" si="11"/>
        <v>39</v>
      </c>
    </row>
    <row r="128" spans="1:13" x14ac:dyDescent="0.2">
      <c r="A128" s="1" t="s">
        <v>72</v>
      </c>
      <c r="B128" s="1" t="str">
        <f t="shared" si="12"/>
        <v>Operations</v>
      </c>
      <c r="C128" s="1" t="str">
        <f t="shared" si="13"/>
        <v>Adult Ed</v>
      </c>
      <c r="D128" s="1" t="s">
        <v>195</v>
      </c>
      <c r="E128" s="1" t="s">
        <v>20</v>
      </c>
      <c r="F128" s="1" t="s">
        <v>15</v>
      </c>
      <c r="G128" s="1" t="s">
        <v>184</v>
      </c>
      <c r="H128" s="1" t="s">
        <v>15</v>
      </c>
      <c r="I128" s="1" t="s">
        <v>184</v>
      </c>
      <c r="J128" s="1" t="s">
        <v>185</v>
      </c>
      <c r="K128" s="1" t="s">
        <v>185</v>
      </c>
      <c r="L128" s="1" t="s">
        <v>133</v>
      </c>
      <c r="M128" s="1">
        <f t="shared" si="11"/>
        <v>39</v>
      </c>
    </row>
    <row r="129" spans="1:13" x14ac:dyDescent="0.2">
      <c r="A129" s="1" t="s">
        <v>72</v>
      </c>
      <c r="B129" s="1" t="str">
        <f t="shared" si="12"/>
        <v>Operations</v>
      </c>
      <c r="C129" s="1" t="str">
        <f t="shared" si="13"/>
        <v>Adult Ed</v>
      </c>
      <c r="D129" s="1" t="s">
        <v>196</v>
      </c>
      <c r="E129" s="1" t="s">
        <v>20</v>
      </c>
      <c r="F129" s="1" t="s">
        <v>15</v>
      </c>
      <c r="G129" s="1" t="s">
        <v>184</v>
      </c>
      <c r="H129" s="1" t="s">
        <v>15</v>
      </c>
      <c r="I129" s="1" t="s">
        <v>184</v>
      </c>
      <c r="J129" s="1" t="s">
        <v>185</v>
      </c>
      <c r="K129" s="1" t="s">
        <v>185</v>
      </c>
      <c r="L129" s="1" t="s">
        <v>133</v>
      </c>
      <c r="M129" s="1">
        <f t="shared" si="11"/>
        <v>39</v>
      </c>
    </row>
    <row r="130" spans="1:13" x14ac:dyDescent="0.2">
      <c r="A130" s="1" t="s">
        <v>72</v>
      </c>
      <c r="B130" s="1" t="str">
        <f t="shared" si="12"/>
        <v>Personnel</v>
      </c>
      <c r="C130" s="1" t="str">
        <f t="shared" si="13"/>
        <v>Assoc. Pastor</v>
      </c>
      <c r="D130" s="1" t="s">
        <v>197</v>
      </c>
      <c r="E130" s="1" t="s">
        <v>20</v>
      </c>
      <c r="F130" s="1" t="s">
        <v>74</v>
      </c>
      <c r="G130" s="1" t="s">
        <v>198</v>
      </c>
      <c r="H130" s="1" t="s">
        <v>74</v>
      </c>
      <c r="I130" s="1" t="s">
        <v>198</v>
      </c>
      <c r="J130" s="1" t="s">
        <v>199</v>
      </c>
      <c r="K130" s="1" t="s">
        <v>200</v>
      </c>
      <c r="L130" s="1" t="s">
        <v>74</v>
      </c>
      <c r="M130" s="1">
        <f t="shared" si="11"/>
        <v>40</v>
      </c>
    </row>
    <row r="131" spans="1:13" x14ac:dyDescent="0.2">
      <c r="A131" s="1" t="s">
        <v>72</v>
      </c>
      <c r="B131" s="1" t="str">
        <f t="shared" si="12"/>
        <v>Personnel</v>
      </c>
      <c r="C131" s="1" t="str">
        <f t="shared" si="13"/>
        <v>Assoc. Pastor</v>
      </c>
      <c r="D131" s="1" t="s">
        <v>201</v>
      </c>
      <c r="E131" s="1" t="s">
        <v>20</v>
      </c>
      <c r="F131" s="1" t="s">
        <v>74</v>
      </c>
      <c r="G131" s="1" t="s">
        <v>198</v>
      </c>
      <c r="H131" s="1" t="s">
        <v>74</v>
      </c>
      <c r="I131" s="1" t="s">
        <v>198</v>
      </c>
      <c r="J131" s="1" t="s">
        <v>199</v>
      </c>
      <c r="K131" s="1" t="s">
        <v>200</v>
      </c>
      <c r="L131" s="1" t="s">
        <v>74</v>
      </c>
      <c r="M131" s="1">
        <f t="shared" ref="M131:M146" si="14">IF(B131=B130,M130,M130+1)</f>
        <v>40</v>
      </c>
    </row>
    <row r="132" spans="1:13" x14ac:dyDescent="0.2">
      <c r="A132" s="1" t="s">
        <v>72</v>
      </c>
      <c r="B132" s="1" t="str">
        <f t="shared" si="12"/>
        <v>Personnel</v>
      </c>
      <c r="C132" s="1" t="str">
        <f t="shared" si="13"/>
        <v>Assoc. Pastor</v>
      </c>
      <c r="D132" s="1" t="s">
        <v>202</v>
      </c>
      <c r="E132" s="1" t="s">
        <v>20</v>
      </c>
      <c r="F132" s="1" t="s">
        <v>74</v>
      </c>
      <c r="G132" s="1" t="s">
        <v>198</v>
      </c>
      <c r="H132" s="1" t="s">
        <v>74</v>
      </c>
      <c r="I132" s="1" t="s">
        <v>198</v>
      </c>
      <c r="J132" s="1" t="s">
        <v>199</v>
      </c>
      <c r="K132" s="1" t="s">
        <v>200</v>
      </c>
      <c r="L132" s="1" t="s">
        <v>74</v>
      </c>
      <c r="M132" s="1">
        <f t="shared" si="14"/>
        <v>40</v>
      </c>
    </row>
    <row r="133" spans="1:13" x14ac:dyDescent="0.2">
      <c r="A133" s="1" t="s">
        <v>72</v>
      </c>
      <c r="B133" s="1" t="str">
        <f t="shared" si="12"/>
        <v>Personnel</v>
      </c>
      <c r="C133" s="1" t="str">
        <f t="shared" si="13"/>
        <v>Assoc. Pastor</v>
      </c>
      <c r="D133" s="1" t="s">
        <v>203</v>
      </c>
      <c r="E133" s="1" t="s">
        <v>20</v>
      </c>
      <c r="F133" s="1" t="s">
        <v>74</v>
      </c>
      <c r="G133" s="1" t="s">
        <v>198</v>
      </c>
      <c r="H133" s="1" t="s">
        <v>74</v>
      </c>
      <c r="I133" s="1" t="s">
        <v>198</v>
      </c>
      <c r="J133" s="1" t="s">
        <v>199</v>
      </c>
      <c r="K133" s="1" t="s">
        <v>200</v>
      </c>
      <c r="L133" s="1" t="s">
        <v>74</v>
      </c>
      <c r="M133" s="1">
        <f t="shared" si="14"/>
        <v>40</v>
      </c>
    </row>
    <row r="134" spans="1:13" x14ac:dyDescent="0.2">
      <c r="A134" s="1" t="s">
        <v>72</v>
      </c>
      <c r="B134" s="1" t="str">
        <f t="shared" si="12"/>
        <v>Personnel</v>
      </c>
      <c r="C134" s="1" t="str">
        <f t="shared" si="13"/>
        <v>Assoc. Pastor</v>
      </c>
      <c r="D134" s="1" t="s">
        <v>204</v>
      </c>
      <c r="E134" s="1" t="s">
        <v>20</v>
      </c>
      <c r="F134" s="1" t="s">
        <v>74</v>
      </c>
      <c r="G134" s="1" t="s">
        <v>198</v>
      </c>
      <c r="H134" s="1" t="s">
        <v>74</v>
      </c>
      <c r="I134" s="1" t="s">
        <v>198</v>
      </c>
      <c r="J134" s="1" t="s">
        <v>199</v>
      </c>
      <c r="K134" s="1" t="s">
        <v>200</v>
      </c>
      <c r="L134" s="1" t="s">
        <v>74</v>
      </c>
      <c r="M134" s="1">
        <f t="shared" si="14"/>
        <v>40</v>
      </c>
    </row>
    <row r="135" spans="1:13" x14ac:dyDescent="0.2">
      <c r="A135" s="1" t="s">
        <v>72</v>
      </c>
      <c r="B135" s="1" t="str">
        <f t="shared" si="12"/>
        <v>Personnel</v>
      </c>
      <c r="C135" s="1" t="str">
        <f t="shared" si="13"/>
        <v>Assoc. Pastor</v>
      </c>
      <c r="D135" s="1" t="s">
        <v>205</v>
      </c>
      <c r="E135" s="1" t="s">
        <v>20</v>
      </c>
      <c r="F135" s="1" t="s">
        <v>74</v>
      </c>
      <c r="G135" s="1" t="s">
        <v>198</v>
      </c>
      <c r="H135" s="1" t="s">
        <v>74</v>
      </c>
      <c r="I135" s="1" t="s">
        <v>198</v>
      </c>
      <c r="J135" s="1" t="s">
        <v>199</v>
      </c>
      <c r="K135" s="1" t="s">
        <v>200</v>
      </c>
      <c r="L135" s="1" t="s">
        <v>74</v>
      </c>
      <c r="M135" s="1">
        <f t="shared" si="14"/>
        <v>40</v>
      </c>
    </row>
    <row r="136" spans="1:13" x14ac:dyDescent="0.2">
      <c r="A136" s="1" t="s">
        <v>72</v>
      </c>
      <c r="B136" s="1" t="str">
        <f t="shared" si="12"/>
        <v>Personnel</v>
      </c>
      <c r="C136" s="1" t="str">
        <f t="shared" si="13"/>
        <v>Assoc. Pastor</v>
      </c>
      <c r="D136" s="1" t="s">
        <v>206</v>
      </c>
      <c r="E136" s="1" t="s">
        <v>20</v>
      </c>
      <c r="F136" s="1" t="s">
        <v>74</v>
      </c>
      <c r="G136" s="1" t="s">
        <v>198</v>
      </c>
      <c r="H136" s="1" t="s">
        <v>74</v>
      </c>
      <c r="I136" s="1" t="s">
        <v>198</v>
      </c>
      <c r="J136" s="1" t="s">
        <v>199</v>
      </c>
      <c r="K136" s="1" t="s">
        <v>200</v>
      </c>
      <c r="L136" s="1" t="s">
        <v>74</v>
      </c>
      <c r="M136" s="1">
        <f t="shared" si="14"/>
        <v>40</v>
      </c>
    </row>
    <row r="137" spans="1:13" x14ac:dyDescent="0.2">
      <c r="A137" s="1" t="s">
        <v>72</v>
      </c>
      <c r="B137" s="1" t="str">
        <f t="shared" si="12"/>
        <v>Personnel</v>
      </c>
      <c r="C137" s="1" t="str">
        <f t="shared" si="13"/>
        <v>Assoc. Pastor</v>
      </c>
      <c r="D137" s="1" t="s">
        <v>207</v>
      </c>
      <c r="E137" s="1" t="s">
        <v>20</v>
      </c>
      <c r="F137" s="1" t="s">
        <v>74</v>
      </c>
      <c r="G137" s="1" t="s">
        <v>198</v>
      </c>
      <c r="H137" s="1" t="s">
        <v>74</v>
      </c>
      <c r="I137" s="1" t="s">
        <v>198</v>
      </c>
      <c r="J137" s="1" t="s">
        <v>199</v>
      </c>
      <c r="K137" s="1" t="s">
        <v>200</v>
      </c>
      <c r="L137" s="1" t="s">
        <v>74</v>
      </c>
      <c r="M137" s="1">
        <f t="shared" si="14"/>
        <v>40</v>
      </c>
    </row>
    <row r="138" spans="1:13" x14ac:dyDescent="0.2">
      <c r="A138" s="1" t="s">
        <v>72</v>
      </c>
      <c r="B138" s="1" t="str">
        <f t="shared" si="12"/>
        <v>Operations</v>
      </c>
      <c r="C138" s="1" t="str">
        <f t="shared" si="13"/>
        <v>Care &amp; Support</v>
      </c>
      <c r="D138" s="1" t="s">
        <v>208</v>
      </c>
      <c r="E138" s="1" t="s">
        <v>20</v>
      </c>
      <c r="F138" s="1" t="s">
        <v>15</v>
      </c>
      <c r="G138" s="1" t="s">
        <v>209</v>
      </c>
      <c r="H138" s="1" t="s">
        <v>15</v>
      </c>
      <c r="I138" s="1" t="s">
        <v>209</v>
      </c>
      <c r="J138" s="1" t="s">
        <v>199</v>
      </c>
      <c r="K138" s="1" t="s">
        <v>210</v>
      </c>
      <c r="L138" s="1" t="s">
        <v>133</v>
      </c>
      <c r="M138" s="1">
        <f t="shared" si="14"/>
        <v>41</v>
      </c>
    </row>
    <row r="139" spans="1:13" x14ac:dyDescent="0.2">
      <c r="A139" s="1" t="s">
        <v>72</v>
      </c>
      <c r="B139" s="1" t="str">
        <f t="shared" si="12"/>
        <v>Operations</v>
      </c>
      <c r="C139" s="1" t="str">
        <f t="shared" si="13"/>
        <v>Care &amp; Support</v>
      </c>
      <c r="D139" s="1" t="s">
        <v>211</v>
      </c>
      <c r="E139" s="1" t="s">
        <v>20</v>
      </c>
      <c r="F139" s="1" t="s">
        <v>15</v>
      </c>
      <c r="G139" s="1" t="s">
        <v>209</v>
      </c>
      <c r="H139" s="1" t="s">
        <v>15</v>
      </c>
      <c r="I139" s="1" t="s">
        <v>209</v>
      </c>
      <c r="J139" s="1" t="s">
        <v>199</v>
      </c>
      <c r="K139" s="1" t="s">
        <v>210</v>
      </c>
      <c r="L139" s="1" t="s">
        <v>133</v>
      </c>
      <c r="M139" s="1">
        <f t="shared" si="14"/>
        <v>41</v>
      </c>
    </row>
    <row r="140" spans="1:13" x14ac:dyDescent="0.2">
      <c r="A140" s="1" t="s">
        <v>72</v>
      </c>
      <c r="B140" s="1" t="str">
        <f t="shared" si="12"/>
        <v>Operations</v>
      </c>
      <c r="C140" s="1" t="str">
        <f t="shared" si="13"/>
        <v>Care &amp; Support</v>
      </c>
      <c r="D140" s="1" t="s">
        <v>212</v>
      </c>
      <c r="E140" s="1" t="s">
        <v>20</v>
      </c>
      <c r="F140" s="1" t="s">
        <v>15</v>
      </c>
      <c r="G140" s="1" t="s">
        <v>209</v>
      </c>
      <c r="H140" s="1" t="s">
        <v>15</v>
      </c>
      <c r="I140" s="1" t="s">
        <v>209</v>
      </c>
      <c r="J140" s="1" t="s">
        <v>199</v>
      </c>
      <c r="K140" s="1" t="s">
        <v>210</v>
      </c>
      <c r="L140" s="1" t="s">
        <v>133</v>
      </c>
      <c r="M140" s="1">
        <f t="shared" si="14"/>
        <v>41</v>
      </c>
    </row>
    <row r="141" spans="1:13" x14ac:dyDescent="0.2">
      <c r="A141" s="1" t="s">
        <v>72</v>
      </c>
      <c r="B141" s="1" t="str">
        <f t="shared" si="12"/>
        <v>Operations</v>
      </c>
      <c r="C141" s="1" t="str">
        <f t="shared" si="13"/>
        <v>Care &amp; Support</v>
      </c>
      <c r="D141" s="1" t="s">
        <v>213</v>
      </c>
      <c r="E141" s="1" t="s">
        <v>20</v>
      </c>
      <c r="F141" s="1" t="s">
        <v>15</v>
      </c>
      <c r="G141" s="1" t="s">
        <v>209</v>
      </c>
      <c r="H141" s="1" t="s">
        <v>15</v>
      </c>
      <c r="I141" s="1" t="s">
        <v>209</v>
      </c>
      <c r="J141" s="1" t="s">
        <v>199</v>
      </c>
      <c r="K141" s="1" t="s">
        <v>210</v>
      </c>
      <c r="L141" s="1" t="s">
        <v>133</v>
      </c>
      <c r="M141" s="1">
        <f t="shared" si="14"/>
        <v>41</v>
      </c>
    </row>
    <row r="142" spans="1:13" x14ac:dyDescent="0.2">
      <c r="A142" s="1" t="s">
        <v>72</v>
      </c>
      <c r="B142" s="1" t="str">
        <f t="shared" si="12"/>
        <v>Operations</v>
      </c>
      <c r="C142" s="1" t="str">
        <f t="shared" si="13"/>
        <v>Care &amp; Support</v>
      </c>
      <c r="D142" s="1" t="s">
        <v>214</v>
      </c>
      <c r="E142" s="1" t="s">
        <v>20</v>
      </c>
      <c r="F142" s="1" t="s">
        <v>15</v>
      </c>
      <c r="G142" s="1" t="s">
        <v>209</v>
      </c>
      <c r="H142" s="1" t="s">
        <v>15</v>
      </c>
      <c r="I142" s="1" t="s">
        <v>209</v>
      </c>
      <c r="J142" s="1" t="s">
        <v>199</v>
      </c>
      <c r="K142" s="1" t="s">
        <v>210</v>
      </c>
      <c r="L142" s="1" t="s">
        <v>133</v>
      </c>
      <c r="M142" s="1">
        <f t="shared" si="14"/>
        <v>41</v>
      </c>
    </row>
    <row r="143" spans="1:13" x14ac:dyDescent="0.2">
      <c r="A143" s="1" t="s">
        <v>72</v>
      </c>
      <c r="B143" s="1" t="str">
        <f t="shared" si="12"/>
        <v>Operations</v>
      </c>
      <c r="C143" s="1" t="str">
        <f t="shared" si="13"/>
        <v>Membership</v>
      </c>
      <c r="D143" s="1" t="s">
        <v>215</v>
      </c>
      <c r="E143" s="1" t="s">
        <v>20</v>
      </c>
      <c r="F143" s="1" t="s">
        <v>15</v>
      </c>
      <c r="G143" s="1" t="s">
        <v>216</v>
      </c>
      <c r="H143" s="1" t="s">
        <v>15</v>
      </c>
      <c r="I143" s="1" t="s">
        <v>216</v>
      </c>
      <c r="J143" s="1" t="s">
        <v>217</v>
      </c>
      <c r="K143" s="1" t="s">
        <v>217</v>
      </c>
      <c r="L143" s="1" t="s">
        <v>133</v>
      </c>
      <c r="M143" s="1">
        <f t="shared" si="14"/>
        <v>41</v>
      </c>
    </row>
    <row r="144" spans="1:13" x14ac:dyDescent="0.2">
      <c r="A144" s="1" t="s">
        <v>72</v>
      </c>
      <c r="B144" s="1" t="str">
        <f t="shared" si="12"/>
        <v>Operations</v>
      </c>
      <c r="C144" s="1" t="str">
        <f t="shared" si="13"/>
        <v>Membership</v>
      </c>
      <c r="D144" s="1" t="s">
        <v>218</v>
      </c>
      <c r="E144" s="1" t="s">
        <v>20</v>
      </c>
      <c r="F144" s="1" t="s">
        <v>15</v>
      </c>
      <c r="G144" s="1" t="s">
        <v>216</v>
      </c>
      <c r="H144" s="1" t="s">
        <v>15</v>
      </c>
      <c r="I144" s="1" t="s">
        <v>216</v>
      </c>
      <c r="J144" s="1" t="s">
        <v>217</v>
      </c>
      <c r="K144" s="1" t="s">
        <v>217</v>
      </c>
      <c r="L144" s="1" t="s">
        <v>133</v>
      </c>
      <c r="M144" s="1">
        <f t="shared" si="14"/>
        <v>41</v>
      </c>
    </row>
    <row r="145" spans="1:13" x14ac:dyDescent="0.2">
      <c r="A145" s="1" t="s">
        <v>72</v>
      </c>
      <c r="B145" s="1" t="str">
        <f t="shared" si="12"/>
        <v>Operations</v>
      </c>
      <c r="C145" s="1" t="str">
        <f t="shared" si="13"/>
        <v>Membership</v>
      </c>
      <c r="D145" s="1" t="s">
        <v>219</v>
      </c>
      <c r="E145" s="1" t="s">
        <v>20</v>
      </c>
      <c r="F145" s="1" t="s">
        <v>15</v>
      </c>
      <c r="G145" s="1" t="s">
        <v>216</v>
      </c>
      <c r="H145" s="1" t="s">
        <v>15</v>
      </c>
      <c r="I145" s="1" t="s">
        <v>216</v>
      </c>
      <c r="J145" s="1" t="s">
        <v>217</v>
      </c>
      <c r="K145" s="1" t="s">
        <v>217</v>
      </c>
      <c r="L145" s="1" t="s">
        <v>133</v>
      </c>
      <c r="M145" s="1">
        <f t="shared" si="14"/>
        <v>41</v>
      </c>
    </row>
    <row r="146" spans="1:13" x14ac:dyDescent="0.2">
      <c r="A146" s="1" t="s">
        <v>72</v>
      </c>
      <c r="B146" s="1" t="str">
        <f t="shared" si="12"/>
        <v>Operations</v>
      </c>
      <c r="C146" s="1" t="str">
        <f t="shared" si="13"/>
        <v>Membership</v>
      </c>
      <c r="D146" s="1" t="s">
        <v>220</v>
      </c>
      <c r="E146" s="1" t="s">
        <v>20</v>
      </c>
      <c r="F146" s="1" t="s">
        <v>15</v>
      </c>
      <c r="G146" s="1" t="s">
        <v>216</v>
      </c>
      <c r="H146" s="1" t="s">
        <v>15</v>
      </c>
      <c r="I146" s="1" t="s">
        <v>216</v>
      </c>
      <c r="J146" s="1" t="s">
        <v>217</v>
      </c>
      <c r="K146" s="1" t="s">
        <v>217</v>
      </c>
      <c r="L146" s="1" t="s">
        <v>133</v>
      </c>
      <c r="M146" s="1">
        <f t="shared" si="14"/>
        <v>41</v>
      </c>
    </row>
    <row r="147" spans="1:13" x14ac:dyDescent="0.2">
      <c r="A147" s="1" t="s">
        <v>72</v>
      </c>
      <c r="B147" s="1" t="str">
        <f>F147</f>
        <v>Education, Music, &amp; Arts</v>
      </c>
      <c r="C147" s="1" t="str">
        <f>G147</f>
        <v>Membership</v>
      </c>
      <c r="D147" s="1" t="s">
        <v>221</v>
      </c>
      <c r="E147" s="1" t="s">
        <v>54</v>
      </c>
      <c r="F147" s="1" t="s">
        <v>25</v>
      </c>
      <c r="G147" s="1" t="s">
        <v>216</v>
      </c>
      <c r="H147" s="1" t="s">
        <v>25</v>
      </c>
      <c r="I147" s="1" t="s">
        <v>216</v>
      </c>
      <c r="J147" s="1" t="s">
        <v>217</v>
      </c>
      <c r="K147" s="1" t="s">
        <v>217</v>
      </c>
      <c r="L147" s="1" t="s">
        <v>133</v>
      </c>
      <c r="M147" s="1">
        <f>IF(B147=B145,M145,M145+1)</f>
        <v>42</v>
      </c>
    </row>
    <row r="148" spans="1:13" x14ac:dyDescent="0.2">
      <c r="A148" s="1" t="s">
        <v>72</v>
      </c>
      <c r="B148" s="1" t="str">
        <f t="shared" si="12"/>
        <v>Education, Music, &amp; Arts</v>
      </c>
      <c r="C148" s="1" t="str">
        <f t="shared" si="13"/>
        <v>Membership</v>
      </c>
      <c r="D148" s="1" t="s">
        <v>222</v>
      </c>
      <c r="E148" s="1" t="s">
        <v>54</v>
      </c>
      <c r="F148" s="1" t="s">
        <v>25</v>
      </c>
      <c r="G148" s="1" t="s">
        <v>216</v>
      </c>
      <c r="H148" s="1" t="s">
        <v>25</v>
      </c>
      <c r="I148" s="1" t="s">
        <v>216</v>
      </c>
      <c r="J148" s="1" t="s">
        <v>217</v>
      </c>
      <c r="K148" s="1" t="s">
        <v>217</v>
      </c>
      <c r="L148" s="1" t="s">
        <v>133</v>
      </c>
      <c r="M148" s="1">
        <f>IF(B148=B146,M146,M146+1)</f>
        <v>42</v>
      </c>
    </row>
    <row r="149" spans="1:13" x14ac:dyDescent="0.2">
      <c r="A149" s="1" t="s">
        <v>72</v>
      </c>
      <c r="B149" s="1" t="str">
        <f t="shared" si="12"/>
        <v>Mission</v>
      </c>
      <c r="C149" s="1" t="str">
        <f t="shared" si="13"/>
        <v>Creation Care</v>
      </c>
      <c r="D149" s="1" t="s">
        <v>223</v>
      </c>
      <c r="E149" s="1" t="s">
        <v>57</v>
      </c>
      <c r="F149" s="1" t="s">
        <v>28</v>
      </c>
      <c r="G149" s="1" t="s">
        <v>224</v>
      </c>
      <c r="H149" s="1" t="s">
        <v>152</v>
      </c>
      <c r="I149" s="1" t="s">
        <v>224</v>
      </c>
      <c r="J149" s="1" t="s">
        <v>225</v>
      </c>
      <c r="K149" s="1" t="s">
        <v>225</v>
      </c>
      <c r="L149" s="1" t="s">
        <v>28</v>
      </c>
      <c r="M149" s="1">
        <f>IF(B149=B146,M146,M146+1)</f>
        <v>42</v>
      </c>
    </row>
    <row r="150" spans="1:13" x14ac:dyDescent="0.2">
      <c r="A150" s="1" t="s">
        <v>72</v>
      </c>
      <c r="B150" s="1" t="str">
        <f t="shared" si="12"/>
        <v>Mission</v>
      </c>
      <c r="C150" s="1" t="str">
        <f t="shared" si="13"/>
        <v>Creation Care</v>
      </c>
      <c r="D150" s="1" t="s">
        <v>226</v>
      </c>
      <c r="E150" s="1" t="s">
        <v>57</v>
      </c>
      <c r="F150" s="1" t="s">
        <v>28</v>
      </c>
      <c r="G150" s="1" t="s">
        <v>224</v>
      </c>
      <c r="H150" s="1" t="s">
        <v>152</v>
      </c>
      <c r="I150" s="1" t="s">
        <v>224</v>
      </c>
      <c r="J150" s="1" t="s">
        <v>225</v>
      </c>
      <c r="K150" s="1" t="s">
        <v>225</v>
      </c>
      <c r="L150" s="1" t="s">
        <v>28</v>
      </c>
      <c r="M150" s="1">
        <f t="shared" ref="M150:M181" si="15">IF(B150=B149,M149,M149+1)</f>
        <v>42</v>
      </c>
    </row>
    <row r="151" spans="1:13" x14ac:dyDescent="0.2">
      <c r="A151" s="1" t="s">
        <v>72</v>
      </c>
      <c r="B151" s="1" t="str">
        <f t="shared" si="12"/>
        <v>Mission</v>
      </c>
      <c r="C151" s="1" t="str">
        <f t="shared" si="13"/>
        <v>Creation Care</v>
      </c>
      <c r="D151" s="1" t="s">
        <v>227</v>
      </c>
      <c r="E151" s="1" t="s">
        <v>57</v>
      </c>
      <c r="F151" s="1" t="s">
        <v>28</v>
      </c>
      <c r="G151" s="1" t="s">
        <v>224</v>
      </c>
      <c r="H151" s="1" t="s">
        <v>152</v>
      </c>
      <c r="I151" s="1" t="s">
        <v>224</v>
      </c>
      <c r="J151" s="1" t="s">
        <v>225</v>
      </c>
      <c r="K151" s="1" t="s">
        <v>225</v>
      </c>
      <c r="L151" s="1" t="s">
        <v>28</v>
      </c>
      <c r="M151" s="1">
        <f t="shared" si="15"/>
        <v>42</v>
      </c>
    </row>
    <row r="152" spans="1:13" x14ac:dyDescent="0.2">
      <c r="A152" s="1" t="s">
        <v>72</v>
      </c>
      <c r="B152" s="1" t="str">
        <f t="shared" si="12"/>
        <v>Mission</v>
      </c>
      <c r="C152" s="1" t="str">
        <f t="shared" si="13"/>
        <v>Creation Care</v>
      </c>
      <c r="D152" s="1" t="s">
        <v>228</v>
      </c>
      <c r="E152" s="1" t="s">
        <v>57</v>
      </c>
      <c r="F152" s="1" t="s">
        <v>28</v>
      </c>
      <c r="G152" s="1" t="s">
        <v>224</v>
      </c>
      <c r="H152" s="1" t="s">
        <v>152</v>
      </c>
      <c r="I152" s="1" t="s">
        <v>224</v>
      </c>
      <c r="J152" s="1" t="s">
        <v>225</v>
      </c>
      <c r="K152" s="1" t="s">
        <v>225</v>
      </c>
      <c r="L152" s="1" t="s">
        <v>28</v>
      </c>
      <c r="M152" s="1">
        <f t="shared" si="15"/>
        <v>42</v>
      </c>
    </row>
    <row r="153" spans="1:13" x14ac:dyDescent="0.2">
      <c r="A153" s="1" t="s">
        <v>72</v>
      </c>
      <c r="B153" s="1" t="str">
        <f t="shared" si="12"/>
        <v>Personnel</v>
      </c>
      <c r="C153" s="1" t="str">
        <f t="shared" si="13"/>
        <v>Maintenance</v>
      </c>
      <c r="D153" s="1" t="s">
        <v>229</v>
      </c>
      <c r="E153" s="4" t="s">
        <v>54</v>
      </c>
      <c r="F153" s="1" t="s">
        <v>74</v>
      </c>
      <c r="G153" s="1" t="s">
        <v>230</v>
      </c>
      <c r="H153" s="1" t="s">
        <v>74</v>
      </c>
      <c r="I153" s="1" t="s">
        <v>230</v>
      </c>
      <c r="J153" s="1" t="s">
        <v>231</v>
      </c>
      <c r="K153" s="1" t="s">
        <v>232</v>
      </c>
      <c r="L153" s="1" t="s">
        <v>74</v>
      </c>
      <c r="M153" s="1">
        <f t="shared" si="15"/>
        <v>43</v>
      </c>
    </row>
    <row r="154" spans="1:13" x14ac:dyDescent="0.2">
      <c r="A154" s="1" t="s">
        <v>72</v>
      </c>
      <c r="B154" s="1" t="str">
        <f t="shared" si="12"/>
        <v>Personnel</v>
      </c>
      <c r="C154" s="1" t="str">
        <f t="shared" si="13"/>
        <v>Maintenance</v>
      </c>
      <c r="D154" s="1" t="s">
        <v>233</v>
      </c>
      <c r="E154" s="1" t="s">
        <v>20</v>
      </c>
      <c r="F154" s="1" t="s">
        <v>74</v>
      </c>
      <c r="G154" s="1" t="s">
        <v>230</v>
      </c>
      <c r="H154" s="1" t="s">
        <v>74</v>
      </c>
      <c r="I154" s="1" t="s">
        <v>230</v>
      </c>
      <c r="J154" s="1" t="s">
        <v>231</v>
      </c>
      <c r="K154" s="1" t="s">
        <v>232</v>
      </c>
      <c r="L154" s="1" t="s">
        <v>74</v>
      </c>
      <c r="M154" s="1">
        <f t="shared" si="15"/>
        <v>43</v>
      </c>
    </row>
    <row r="155" spans="1:13" x14ac:dyDescent="0.2">
      <c r="A155" s="1" t="s">
        <v>72</v>
      </c>
      <c r="B155" s="1" t="str">
        <f t="shared" si="12"/>
        <v>Personnel</v>
      </c>
      <c r="C155" s="1" t="str">
        <f t="shared" si="13"/>
        <v>Maintenance</v>
      </c>
      <c r="D155" s="1" t="s">
        <v>234</v>
      </c>
      <c r="E155" s="1" t="s">
        <v>20</v>
      </c>
      <c r="F155" s="1" t="s">
        <v>74</v>
      </c>
      <c r="G155" s="1" t="s">
        <v>230</v>
      </c>
      <c r="H155" s="1" t="s">
        <v>74</v>
      </c>
      <c r="I155" s="1" t="s">
        <v>230</v>
      </c>
      <c r="J155" s="1" t="s">
        <v>231</v>
      </c>
      <c r="K155" s="1" t="s">
        <v>232</v>
      </c>
      <c r="L155" s="1" t="s">
        <v>74</v>
      </c>
      <c r="M155" s="1">
        <f t="shared" si="15"/>
        <v>43</v>
      </c>
    </row>
    <row r="156" spans="1:13" x14ac:dyDescent="0.2">
      <c r="A156" s="1" t="s">
        <v>72</v>
      </c>
      <c r="B156" s="1" t="str">
        <f t="shared" si="12"/>
        <v>Personnel</v>
      </c>
      <c r="C156" s="1" t="str">
        <f t="shared" si="13"/>
        <v>Maintenance</v>
      </c>
      <c r="D156" s="1" t="s">
        <v>235</v>
      </c>
      <c r="E156" s="1" t="s">
        <v>20</v>
      </c>
      <c r="F156" s="1" t="s">
        <v>74</v>
      </c>
      <c r="G156" s="1" t="s">
        <v>230</v>
      </c>
      <c r="H156" s="1" t="s">
        <v>74</v>
      </c>
      <c r="I156" s="1" t="s">
        <v>230</v>
      </c>
      <c r="J156" s="1" t="s">
        <v>231</v>
      </c>
      <c r="K156" s="1" t="s">
        <v>232</v>
      </c>
      <c r="L156" s="1" t="s">
        <v>74</v>
      </c>
      <c r="M156" s="1">
        <f t="shared" si="15"/>
        <v>43</v>
      </c>
    </row>
    <row r="157" spans="1:13" x14ac:dyDescent="0.2">
      <c r="A157" s="1" t="s">
        <v>72</v>
      </c>
      <c r="B157" s="1" t="str">
        <f t="shared" si="12"/>
        <v>Personnel</v>
      </c>
      <c r="C157" s="1" t="str">
        <f t="shared" si="13"/>
        <v>Maintenance</v>
      </c>
      <c r="D157" s="1" t="s">
        <v>236</v>
      </c>
      <c r="E157" s="1" t="s">
        <v>20</v>
      </c>
      <c r="F157" s="1" t="s">
        <v>74</v>
      </c>
      <c r="G157" s="1" t="s">
        <v>230</v>
      </c>
      <c r="H157" s="1" t="s">
        <v>74</v>
      </c>
      <c r="I157" s="1" t="s">
        <v>230</v>
      </c>
      <c r="J157" s="1" t="s">
        <v>231</v>
      </c>
      <c r="K157" s="1" t="s">
        <v>232</v>
      </c>
      <c r="L157" s="1" t="s">
        <v>74</v>
      </c>
      <c r="M157" s="1">
        <f t="shared" si="15"/>
        <v>43</v>
      </c>
    </row>
    <row r="158" spans="1:13" x14ac:dyDescent="0.2">
      <c r="A158" s="1" t="s">
        <v>72</v>
      </c>
      <c r="B158" s="1" t="str">
        <f t="shared" si="12"/>
        <v>Personnel</v>
      </c>
      <c r="C158" s="1" t="str">
        <f t="shared" si="13"/>
        <v>Maintenance</v>
      </c>
      <c r="D158" t="s">
        <v>237</v>
      </c>
      <c r="E158" s="1" t="s">
        <v>20</v>
      </c>
      <c r="F158" s="1" t="s">
        <v>74</v>
      </c>
      <c r="G158" s="1" t="s">
        <v>230</v>
      </c>
      <c r="H158" s="1" t="s">
        <v>74</v>
      </c>
      <c r="I158" s="1" t="s">
        <v>230</v>
      </c>
      <c r="J158" s="1" t="s">
        <v>231</v>
      </c>
      <c r="K158" s="1" t="s">
        <v>232</v>
      </c>
      <c r="L158" s="1" t="s">
        <v>74</v>
      </c>
      <c r="M158" s="1">
        <f t="shared" si="15"/>
        <v>43</v>
      </c>
    </row>
    <row r="159" spans="1:13" x14ac:dyDescent="0.2">
      <c r="A159" s="1" t="s">
        <v>72</v>
      </c>
      <c r="B159" s="1" t="str">
        <f t="shared" si="12"/>
        <v>Operations</v>
      </c>
      <c r="C159" s="1" t="str">
        <f t="shared" si="13"/>
        <v>Property</v>
      </c>
      <c r="D159" s="1" t="s">
        <v>238</v>
      </c>
      <c r="E159" s="1" t="s">
        <v>20</v>
      </c>
      <c r="F159" s="1" t="s">
        <v>15</v>
      </c>
      <c r="G159" s="1" t="s">
        <v>239</v>
      </c>
      <c r="H159" s="1" t="s">
        <v>15</v>
      </c>
      <c r="I159" s="1" t="s">
        <v>239</v>
      </c>
      <c r="J159" s="1" t="s">
        <v>231</v>
      </c>
      <c r="K159" s="1" t="s">
        <v>240</v>
      </c>
      <c r="L159" s="1" t="s">
        <v>15</v>
      </c>
      <c r="M159" s="1">
        <f t="shared" si="15"/>
        <v>44</v>
      </c>
    </row>
    <row r="160" spans="1:13" x14ac:dyDescent="0.2">
      <c r="A160" s="1" t="s">
        <v>72</v>
      </c>
      <c r="B160" s="1" t="str">
        <f t="shared" si="12"/>
        <v>Operations</v>
      </c>
      <c r="C160" s="1" t="str">
        <f t="shared" si="13"/>
        <v>Property</v>
      </c>
      <c r="D160" s="1" t="s">
        <v>241</v>
      </c>
      <c r="E160" s="1" t="s">
        <v>20</v>
      </c>
      <c r="F160" s="1" t="s">
        <v>15</v>
      </c>
      <c r="G160" s="1" t="s">
        <v>239</v>
      </c>
      <c r="H160" s="1" t="s">
        <v>15</v>
      </c>
      <c r="I160" s="1" t="s">
        <v>239</v>
      </c>
      <c r="J160" s="1" t="s">
        <v>231</v>
      </c>
      <c r="K160" s="1" t="s">
        <v>240</v>
      </c>
      <c r="L160" s="1" t="s">
        <v>15</v>
      </c>
      <c r="M160" s="1">
        <f t="shared" si="15"/>
        <v>44</v>
      </c>
    </row>
    <row r="161" spans="1:13" x14ac:dyDescent="0.2">
      <c r="A161" s="1" t="s">
        <v>72</v>
      </c>
      <c r="B161" s="1" t="str">
        <f t="shared" si="12"/>
        <v>Operations</v>
      </c>
      <c r="C161" s="1" t="str">
        <f t="shared" si="13"/>
        <v>Property</v>
      </c>
      <c r="D161" s="1" t="s">
        <v>242</v>
      </c>
      <c r="E161" s="1" t="s">
        <v>20</v>
      </c>
      <c r="F161" s="1" t="s">
        <v>15</v>
      </c>
      <c r="G161" s="1" t="s">
        <v>239</v>
      </c>
      <c r="H161" s="1" t="s">
        <v>15</v>
      </c>
      <c r="I161" s="1" t="s">
        <v>239</v>
      </c>
      <c r="J161" s="1" t="s">
        <v>231</v>
      </c>
      <c r="K161" s="1" t="s">
        <v>240</v>
      </c>
      <c r="L161" s="1" t="s">
        <v>15</v>
      </c>
      <c r="M161" s="1">
        <f t="shared" si="15"/>
        <v>44</v>
      </c>
    </row>
    <row r="162" spans="1:13" x14ac:dyDescent="0.2">
      <c r="A162" s="1" t="s">
        <v>72</v>
      </c>
      <c r="B162" s="1" t="str">
        <f t="shared" si="12"/>
        <v>Operations</v>
      </c>
      <c r="C162" s="1" t="str">
        <f t="shared" si="13"/>
        <v>Property</v>
      </c>
      <c r="D162" s="1" t="s">
        <v>243</v>
      </c>
      <c r="E162" s="1" t="s">
        <v>20</v>
      </c>
      <c r="F162" s="1" t="s">
        <v>15</v>
      </c>
      <c r="G162" s="1" t="s">
        <v>239</v>
      </c>
      <c r="H162" s="1" t="s">
        <v>15</v>
      </c>
      <c r="I162" s="1" t="s">
        <v>239</v>
      </c>
      <c r="J162" s="1" t="s">
        <v>231</v>
      </c>
      <c r="K162" s="1" t="s">
        <v>240</v>
      </c>
      <c r="L162" s="1" t="s">
        <v>15</v>
      </c>
      <c r="M162" s="1">
        <f t="shared" si="15"/>
        <v>44</v>
      </c>
    </row>
    <row r="163" spans="1:13" x14ac:dyDescent="0.2">
      <c r="A163" s="1" t="s">
        <v>72</v>
      </c>
      <c r="B163" s="1" t="str">
        <f t="shared" si="12"/>
        <v>Operations</v>
      </c>
      <c r="C163" s="1" t="str">
        <f t="shared" si="13"/>
        <v>Property</v>
      </c>
      <c r="D163" s="1" t="s">
        <v>244</v>
      </c>
      <c r="E163" s="1" t="s">
        <v>20</v>
      </c>
      <c r="F163" s="1" t="s">
        <v>15</v>
      </c>
      <c r="G163" s="1" t="s">
        <v>239</v>
      </c>
      <c r="H163" s="1" t="s">
        <v>15</v>
      </c>
      <c r="I163" s="1" t="s">
        <v>239</v>
      </c>
      <c r="J163" s="1" t="s">
        <v>231</v>
      </c>
      <c r="K163" s="1" t="s">
        <v>240</v>
      </c>
      <c r="L163" s="1" t="s">
        <v>15</v>
      </c>
      <c r="M163" s="1">
        <f t="shared" si="15"/>
        <v>44</v>
      </c>
    </row>
    <row r="164" spans="1:13" x14ac:dyDescent="0.2">
      <c r="A164" s="1" t="s">
        <v>72</v>
      </c>
      <c r="B164" s="1" t="str">
        <f t="shared" si="12"/>
        <v>Operations</v>
      </c>
      <c r="C164" s="1" t="str">
        <f t="shared" si="13"/>
        <v>Property</v>
      </c>
      <c r="D164" s="1" t="s">
        <v>245</v>
      </c>
      <c r="E164" s="1" t="s">
        <v>20</v>
      </c>
      <c r="F164" s="1" t="s">
        <v>15</v>
      </c>
      <c r="G164" s="1" t="s">
        <v>239</v>
      </c>
      <c r="H164" s="1" t="s">
        <v>15</v>
      </c>
      <c r="I164" s="1" t="s">
        <v>239</v>
      </c>
      <c r="J164" s="1" t="s">
        <v>231</v>
      </c>
      <c r="K164" s="1" t="s">
        <v>240</v>
      </c>
      <c r="L164" s="1" t="s">
        <v>15</v>
      </c>
      <c r="M164" s="1">
        <f t="shared" si="15"/>
        <v>44</v>
      </c>
    </row>
    <row r="165" spans="1:13" x14ac:dyDescent="0.2">
      <c r="A165" s="1" t="s">
        <v>72</v>
      </c>
      <c r="B165" s="1" t="str">
        <f t="shared" ref="B165:B228" si="16">F165</f>
        <v>Operations</v>
      </c>
      <c r="C165" s="1" t="str">
        <f t="shared" ref="C165:C228" si="17">G165</f>
        <v>Property</v>
      </c>
      <c r="D165" s="1" t="s">
        <v>246</v>
      </c>
      <c r="E165" s="1" t="s">
        <v>20</v>
      </c>
      <c r="F165" s="1" t="s">
        <v>15</v>
      </c>
      <c r="G165" s="1" t="s">
        <v>239</v>
      </c>
      <c r="H165" s="1" t="s">
        <v>15</v>
      </c>
      <c r="I165" s="1" t="s">
        <v>239</v>
      </c>
      <c r="J165" s="1" t="s">
        <v>231</v>
      </c>
      <c r="K165" s="1" t="s">
        <v>240</v>
      </c>
      <c r="L165" s="1" t="s">
        <v>15</v>
      </c>
      <c r="M165" s="1">
        <f t="shared" si="15"/>
        <v>44</v>
      </c>
    </row>
    <row r="166" spans="1:13" x14ac:dyDescent="0.2">
      <c r="A166" s="1" t="s">
        <v>72</v>
      </c>
      <c r="B166" s="1" t="str">
        <f t="shared" si="16"/>
        <v>Operations</v>
      </c>
      <c r="C166" s="1" t="str">
        <f t="shared" si="17"/>
        <v>Property</v>
      </c>
      <c r="D166" s="1" t="s">
        <v>247</v>
      </c>
      <c r="E166" s="1" t="s">
        <v>20</v>
      </c>
      <c r="F166" s="1" t="s">
        <v>15</v>
      </c>
      <c r="G166" s="1" t="s">
        <v>239</v>
      </c>
      <c r="H166" s="1" t="s">
        <v>15</v>
      </c>
      <c r="I166" s="1" t="s">
        <v>239</v>
      </c>
      <c r="J166" s="1" t="s">
        <v>231</v>
      </c>
      <c r="K166" s="1" t="s">
        <v>240</v>
      </c>
      <c r="L166" s="1" t="s">
        <v>15</v>
      </c>
      <c r="M166" s="1">
        <f t="shared" si="15"/>
        <v>44</v>
      </c>
    </row>
    <row r="167" spans="1:13" x14ac:dyDescent="0.2">
      <c r="A167" s="1" t="s">
        <v>72</v>
      </c>
      <c r="B167" s="1" t="str">
        <f t="shared" si="16"/>
        <v>Operations</v>
      </c>
      <c r="C167" s="1" t="str">
        <f t="shared" si="17"/>
        <v>Property</v>
      </c>
      <c r="D167" s="1" t="s">
        <v>248</v>
      </c>
      <c r="E167" s="1" t="s">
        <v>20</v>
      </c>
      <c r="F167" s="1" t="s">
        <v>15</v>
      </c>
      <c r="G167" s="1" t="s">
        <v>239</v>
      </c>
      <c r="H167" s="1" t="s">
        <v>15</v>
      </c>
      <c r="I167" s="1" t="s">
        <v>239</v>
      </c>
      <c r="J167" s="1" t="s">
        <v>231</v>
      </c>
      <c r="K167" s="1" t="s">
        <v>240</v>
      </c>
      <c r="L167" s="1" t="s">
        <v>15</v>
      </c>
      <c r="M167" s="1">
        <f t="shared" si="15"/>
        <v>44</v>
      </c>
    </row>
    <row r="168" spans="1:13" x14ac:dyDescent="0.2">
      <c r="A168" s="1" t="s">
        <v>72</v>
      </c>
      <c r="B168" s="1" t="str">
        <f t="shared" si="16"/>
        <v>Operations</v>
      </c>
      <c r="C168" s="1" t="str">
        <f t="shared" si="17"/>
        <v>Property</v>
      </c>
      <c r="D168" s="1" t="s">
        <v>249</v>
      </c>
      <c r="E168" s="1" t="s">
        <v>20</v>
      </c>
      <c r="F168" s="1" t="s">
        <v>15</v>
      </c>
      <c r="G168" s="1" t="s">
        <v>239</v>
      </c>
      <c r="H168" s="1" t="s">
        <v>15</v>
      </c>
      <c r="I168" s="1" t="s">
        <v>239</v>
      </c>
      <c r="J168" s="1" t="s">
        <v>231</v>
      </c>
      <c r="K168" s="1" t="s">
        <v>240</v>
      </c>
      <c r="L168" s="1" t="s">
        <v>15</v>
      </c>
      <c r="M168" s="1">
        <f t="shared" si="15"/>
        <v>44</v>
      </c>
    </row>
    <row r="169" spans="1:13" x14ac:dyDescent="0.2">
      <c r="A169" s="1" t="s">
        <v>72</v>
      </c>
      <c r="B169" s="1" t="str">
        <f t="shared" si="16"/>
        <v>Operations</v>
      </c>
      <c r="C169" s="1" t="str">
        <f t="shared" si="17"/>
        <v>Property</v>
      </c>
      <c r="D169" s="1" t="s">
        <v>250</v>
      </c>
      <c r="E169" s="1" t="s">
        <v>20</v>
      </c>
      <c r="F169" s="1" t="s">
        <v>15</v>
      </c>
      <c r="G169" s="1" t="s">
        <v>239</v>
      </c>
      <c r="H169" s="1" t="s">
        <v>15</v>
      </c>
      <c r="I169" s="1" t="s">
        <v>239</v>
      </c>
      <c r="J169" s="1" t="s">
        <v>231</v>
      </c>
      <c r="K169" s="1" t="s">
        <v>240</v>
      </c>
      <c r="L169" s="1" t="s">
        <v>15</v>
      </c>
      <c r="M169" s="1">
        <f t="shared" si="15"/>
        <v>44</v>
      </c>
    </row>
    <row r="170" spans="1:13" x14ac:dyDescent="0.2">
      <c r="A170" s="1" t="s">
        <v>72</v>
      </c>
      <c r="B170" s="1" t="str">
        <f t="shared" si="16"/>
        <v>Operations</v>
      </c>
      <c r="C170" s="1" t="str">
        <f t="shared" si="17"/>
        <v>Property</v>
      </c>
      <c r="D170" s="1" t="s">
        <v>251</v>
      </c>
      <c r="E170" s="1" t="s">
        <v>20</v>
      </c>
      <c r="F170" s="1" t="s">
        <v>15</v>
      </c>
      <c r="G170" s="1" t="s">
        <v>239</v>
      </c>
      <c r="H170" s="1" t="s">
        <v>15</v>
      </c>
      <c r="I170" s="1" t="s">
        <v>239</v>
      </c>
      <c r="J170" s="1" t="s">
        <v>231</v>
      </c>
      <c r="K170" s="1" t="s">
        <v>240</v>
      </c>
      <c r="L170" s="1" t="s">
        <v>15</v>
      </c>
      <c r="M170" s="1">
        <f t="shared" si="15"/>
        <v>44</v>
      </c>
    </row>
    <row r="171" spans="1:13" x14ac:dyDescent="0.2">
      <c r="A171" s="1" t="s">
        <v>72</v>
      </c>
      <c r="B171" s="1" t="str">
        <f t="shared" si="16"/>
        <v>Operations</v>
      </c>
      <c r="C171" s="1" t="str">
        <f t="shared" si="17"/>
        <v>Property</v>
      </c>
      <c r="D171" s="1" t="s">
        <v>252</v>
      </c>
      <c r="E171" s="1" t="s">
        <v>20</v>
      </c>
      <c r="F171" s="1" t="s">
        <v>15</v>
      </c>
      <c r="G171" s="1" t="s">
        <v>239</v>
      </c>
      <c r="H171" s="1" t="s">
        <v>15</v>
      </c>
      <c r="I171" s="1" t="s">
        <v>239</v>
      </c>
      <c r="J171" s="1" t="s">
        <v>231</v>
      </c>
      <c r="K171" s="1" t="s">
        <v>240</v>
      </c>
      <c r="L171" s="1" t="s">
        <v>15</v>
      </c>
      <c r="M171" s="1">
        <f t="shared" si="15"/>
        <v>44</v>
      </c>
    </row>
    <row r="172" spans="1:13" x14ac:dyDescent="0.2">
      <c r="A172" s="1" t="s">
        <v>72</v>
      </c>
      <c r="B172" s="1" t="str">
        <f t="shared" si="16"/>
        <v>Operations</v>
      </c>
      <c r="C172" s="1" t="str">
        <f t="shared" si="17"/>
        <v>Property</v>
      </c>
      <c r="D172" s="1" t="s">
        <v>253</v>
      </c>
      <c r="E172" s="1" t="s">
        <v>20</v>
      </c>
      <c r="F172" s="1" t="s">
        <v>15</v>
      </c>
      <c r="G172" s="1" t="s">
        <v>239</v>
      </c>
      <c r="H172" s="1" t="s">
        <v>15</v>
      </c>
      <c r="I172" s="1" t="s">
        <v>239</v>
      </c>
      <c r="J172" s="1" t="s">
        <v>231</v>
      </c>
      <c r="K172" s="1" t="s">
        <v>240</v>
      </c>
      <c r="L172" s="1" t="s">
        <v>15</v>
      </c>
      <c r="M172" s="1">
        <f t="shared" si="15"/>
        <v>44</v>
      </c>
    </row>
    <row r="173" spans="1:13" x14ac:dyDescent="0.2">
      <c r="A173" s="1" t="s">
        <v>72</v>
      </c>
      <c r="B173" s="1" t="str">
        <f t="shared" si="16"/>
        <v>Operations</v>
      </c>
      <c r="C173" s="1" t="str">
        <f t="shared" si="17"/>
        <v>Property</v>
      </c>
      <c r="D173" s="1" t="s">
        <v>254</v>
      </c>
      <c r="E173" s="1" t="s">
        <v>20</v>
      </c>
      <c r="F173" s="1" t="s">
        <v>15</v>
      </c>
      <c r="G173" s="1" t="s">
        <v>239</v>
      </c>
      <c r="H173" s="1" t="s">
        <v>15</v>
      </c>
      <c r="I173" s="1" t="s">
        <v>239</v>
      </c>
      <c r="J173" s="1" t="s">
        <v>231</v>
      </c>
      <c r="K173" s="1" t="s">
        <v>240</v>
      </c>
      <c r="L173" s="1" t="s">
        <v>15</v>
      </c>
      <c r="M173" s="1">
        <f t="shared" si="15"/>
        <v>44</v>
      </c>
    </row>
    <row r="174" spans="1:13" x14ac:dyDescent="0.2">
      <c r="A174" s="1" t="s">
        <v>72</v>
      </c>
      <c r="B174" s="1" t="str">
        <f t="shared" si="16"/>
        <v>Operations</v>
      </c>
      <c r="C174" s="1" t="str">
        <f t="shared" si="17"/>
        <v>Property</v>
      </c>
      <c r="D174" s="1" t="s">
        <v>255</v>
      </c>
      <c r="E174" s="1" t="s">
        <v>20</v>
      </c>
      <c r="F174" s="1" t="s">
        <v>15</v>
      </c>
      <c r="G174" s="1" t="s">
        <v>239</v>
      </c>
      <c r="H174" s="1" t="s">
        <v>15</v>
      </c>
      <c r="I174" s="1" t="s">
        <v>239</v>
      </c>
      <c r="J174" s="1" t="s">
        <v>231</v>
      </c>
      <c r="K174" s="1" t="s">
        <v>240</v>
      </c>
      <c r="L174" s="1" t="s">
        <v>15</v>
      </c>
      <c r="M174" s="1">
        <f t="shared" si="15"/>
        <v>44</v>
      </c>
    </row>
    <row r="175" spans="1:13" x14ac:dyDescent="0.2">
      <c r="A175" s="1" t="s">
        <v>72</v>
      </c>
      <c r="B175" s="1" t="str">
        <f t="shared" si="16"/>
        <v>Operations</v>
      </c>
      <c r="C175" s="1" t="str">
        <f t="shared" si="17"/>
        <v>Property</v>
      </c>
      <c r="D175" s="1" t="s">
        <v>256</v>
      </c>
      <c r="E175" s="1" t="s">
        <v>20</v>
      </c>
      <c r="F175" s="1" t="s">
        <v>15</v>
      </c>
      <c r="G175" s="1" t="s">
        <v>239</v>
      </c>
      <c r="H175" s="1" t="s">
        <v>15</v>
      </c>
      <c r="I175" s="1" t="s">
        <v>239</v>
      </c>
      <c r="J175" s="1" t="s">
        <v>231</v>
      </c>
      <c r="K175" s="1" t="s">
        <v>240</v>
      </c>
      <c r="L175" s="1" t="s">
        <v>15</v>
      </c>
      <c r="M175" s="1">
        <f t="shared" si="15"/>
        <v>44</v>
      </c>
    </row>
    <row r="176" spans="1:13" x14ac:dyDescent="0.2">
      <c r="A176" s="1" t="s">
        <v>72</v>
      </c>
      <c r="B176" s="1" t="str">
        <f t="shared" si="16"/>
        <v>Operations</v>
      </c>
      <c r="C176" s="1" t="str">
        <f t="shared" si="17"/>
        <v>Property</v>
      </c>
      <c r="D176" s="1" t="s">
        <v>257</v>
      </c>
      <c r="E176" s="1" t="s">
        <v>20</v>
      </c>
      <c r="F176" s="1" t="s">
        <v>15</v>
      </c>
      <c r="G176" s="1" t="s">
        <v>239</v>
      </c>
      <c r="H176" s="1" t="s">
        <v>15</v>
      </c>
      <c r="I176" s="1" t="s">
        <v>239</v>
      </c>
      <c r="J176" s="1" t="s">
        <v>231</v>
      </c>
      <c r="K176" s="1" t="s">
        <v>240</v>
      </c>
      <c r="L176" s="1" t="s">
        <v>15</v>
      </c>
      <c r="M176" s="1">
        <f t="shared" si="15"/>
        <v>44</v>
      </c>
    </row>
    <row r="177" spans="1:13" x14ac:dyDescent="0.2">
      <c r="A177" s="1" t="s">
        <v>72</v>
      </c>
      <c r="B177" s="1" t="str">
        <f t="shared" si="16"/>
        <v>Operations</v>
      </c>
      <c r="C177" s="1" t="str">
        <f t="shared" si="17"/>
        <v>Property</v>
      </c>
      <c r="D177" s="1" t="s">
        <v>258</v>
      </c>
      <c r="E177" s="1" t="s">
        <v>20</v>
      </c>
      <c r="F177" s="1" t="s">
        <v>15</v>
      </c>
      <c r="G177" s="1" t="s">
        <v>239</v>
      </c>
      <c r="H177" s="1" t="s">
        <v>15</v>
      </c>
      <c r="I177" s="1" t="s">
        <v>239</v>
      </c>
      <c r="J177" s="1" t="s">
        <v>231</v>
      </c>
      <c r="K177" s="1" t="s">
        <v>240</v>
      </c>
      <c r="L177" s="1" t="s">
        <v>15</v>
      </c>
      <c r="M177" s="1">
        <f t="shared" si="15"/>
        <v>44</v>
      </c>
    </row>
    <row r="178" spans="1:13" x14ac:dyDescent="0.2">
      <c r="A178" s="1" t="s">
        <v>72</v>
      </c>
      <c r="B178" s="1" t="str">
        <f t="shared" si="16"/>
        <v>Operations</v>
      </c>
      <c r="C178" s="1" t="str">
        <f t="shared" si="17"/>
        <v>Property</v>
      </c>
      <c r="D178" s="1" t="s">
        <v>259</v>
      </c>
      <c r="E178" s="1" t="s">
        <v>20</v>
      </c>
      <c r="F178" s="1" t="s">
        <v>15</v>
      </c>
      <c r="G178" s="1" t="s">
        <v>239</v>
      </c>
      <c r="H178" s="1" t="s">
        <v>15</v>
      </c>
      <c r="I178" s="1" t="s">
        <v>239</v>
      </c>
      <c r="J178" s="1" t="s">
        <v>231</v>
      </c>
      <c r="K178" s="1" t="s">
        <v>240</v>
      </c>
      <c r="L178" s="1" t="s">
        <v>15</v>
      </c>
      <c r="M178" s="1">
        <f t="shared" si="15"/>
        <v>44</v>
      </c>
    </row>
    <row r="179" spans="1:13" x14ac:dyDescent="0.2">
      <c r="A179" s="1" t="s">
        <v>72</v>
      </c>
      <c r="B179" s="1" t="str">
        <f t="shared" si="16"/>
        <v>Operations</v>
      </c>
      <c r="C179" s="1" t="str">
        <f t="shared" si="17"/>
        <v>Property</v>
      </c>
      <c r="D179" s="1" t="s">
        <v>260</v>
      </c>
      <c r="E179" s="1" t="s">
        <v>20</v>
      </c>
      <c r="F179" s="1" t="s">
        <v>15</v>
      </c>
      <c r="G179" s="1" t="s">
        <v>239</v>
      </c>
      <c r="H179" s="1" t="s">
        <v>15</v>
      </c>
      <c r="I179" s="1" t="s">
        <v>239</v>
      </c>
      <c r="J179" s="1" t="s">
        <v>231</v>
      </c>
      <c r="K179" s="1" t="s">
        <v>240</v>
      </c>
      <c r="L179" s="1" t="s">
        <v>15</v>
      </c>
      <c r="M179" s="1">
        <f t="shared" si="15"/>
        <v>44</v>
      </c>
    </row>
    <row r="180" spans="1:13" x14ac:dyDescent="0.2">
      <c r="A180" s="1" t="s">
        <v>72</v>
      </c>
      <c r="B180" s="1" t="str">
        <f t="shared" si="16"/>
        <v>Operations</v>
      </c>
      <c r="C180" s="1" t="str">
        <f t="shared" si="17"/>
        <v>Property</v>
      </c>
      <c r="D180" s="1" t="s">
        <v>261</v>
      </c>
      <c r="E180" s="1" t="s">
        <v>20</v>
      </c>
      <c r="F180" s="1" t="s">
        <v>15</v>
      </c>
      <c r="G180" s="1" t="s">
        <v>239</v>
      </c>
      <c r="H180" s="1" t="s">
        <v>15</v>
      </c>
      <c r="I180" s="1" t="s">
        <v>239</v>
      </c>
      <c r="J180" s="1" t="s">
        <v>231</v>
      </c>
      <c r="K180" s="1" t="s">
        <v>240</v>
      </c>
      <c r="L180" s="1" t="s">
        <v>15</v>
      </c>
      <c r="M180" s="1">
        <f t="shared" si="15"/>
        <v>44</v>
      </c>
    </row>
    <row r="181" spans="1:13" x14ac:dyDescent="0.2">
      <c r="A181" s="1" t="s">
        <v>72</v>
      </c>
      <c r="B181" s="1" t="str">
        <f t="shared" si="16"/>
        <v>Operations</v>
      </c>
      <c r="C181" s="1" t="str">
        <f t="shared" si="17"/>
        <v>Property</v>
      </c>
      <c r="D181" s="1" t="s">
        <v>262</v>
      </c>
      <c r="E181" s="1" t="s">
        <v>20</v>
      </c>
      <c r="F181" s="1" t="s">
        <v>15</v>
      </c>
      <c r="G181" s="1" t="s">
        <v>239</v>
      </c>
      <c r="H181" s="1" t="s">
        <v>15</v>
      </c>
      <c r="I181" s="1" t="s">
        <v>239</v>
      </c>
      <c r="J181" s="1" t="s">
        <v>231</v>
      </c>
      <c r="K181" s="1" t="s">
        <v>240</v>
      </c>
      <c r="L181" s="1" t="s">
        <v>15</v>
      </c>
      <c r="M181" s="1">
        <f t="shared" si="15"/>
        <v>44</v>
      </c>
    </row>
    <row r="182" spans="1:13" x14ac:dyDescent="0.2">
      <c r="A182" s="1" t="s">
        <v>72</v>
      </c>
      <c r="B182" s="1" t="str">
        <f t="shared" si="16"/>
        <v>Operations</v>
      </c>
      <c r="C182" s="1" t="str">
        <f t="shared" si="17"/>
        <v>Property</v>
      </c>
      <c r="D182" s="1" t="s">
        <v>263</v>
      </c>
      <c r="E182" s="1" t="s">
        <v>20</v>
      </c>
      <c r="F182" s="1" t="s">
        <v>15</v>
      </c>
      <c r="G182" s="1" t="s">
        <v>239</v>
      </c>
      <c r="H182" s="1" t="s">
        <v>15</v>
      </c>
      <c r="I182" s="1" t="s">
        <v>239</v>
      </c>
      <c r="J182" s="1" t="s">
        <v>231</v>
      </c>
      <c r="K182" s="1" t="s">
        <v>240</v>
      </c>
      <c r="L182" s="1" t="s">
        <v>15</v>
      </c>
      <c r="M182" s="1">
        <f t="shared" ref="M182:M213" si="18">IF(B182=B181,M181,M181+1)</f>
        <v>44</v>
      </c>
    </row>
    <row r="183" spans="1:13" x14ac:dyDescent="0.2">
      <c r="A183" s="1" t="s">
        <v>72</v>
      </c>
      <c r="B183" s="1" t="str">
        <f t="shared" si="16"/>
        <v>Operations</v>
      </c>
      <c r="C183" s="1" t="str">
        <f t="shared" si="17"/>
        <v>Property</v>
      </c>
      <c r="D183" s="1" t="s">
        <v>264</v>
      </c>
      <c r="E183" s="1" t="s">
        <v>20</v>
      </c>
      <c r="F183" s="1" t="s">
        <v>15</v>
      </c>
      <c r="G183" s="1" t="s">
        <v>239</v>
      </c>
      <c r="H183" s="1" t="s">
        <v>15</v>
      </c>
      <c r="I183" s="1" t="s">
        <v>239</v>
      </c>
      <c r="J183" s="1" t="s">
        <v>231</v>
      </c>
      <c r="K183" s="1" t="s">
        <v>240</v>
      </c>
      <c r="L183" s="1" t="s">
        <v>15</v>
      </c>
      <c r="M183" s="1">
        <f t="shared" si="18"/>
        <v>44</v>
      </c>
    </row>
    <row r="184" spans="1:13" x14ac:dyDescent="0.2">
      <c r="A184" s="1" t="s">
        <v>72</v>
      </c>
      <c r="B184" s="1" t="str">
        <f t="shared" si="16"/>
        <v>Operations</v>
      </c>
      <c r="C184" s="1" t="str">
        <f t="shared" si="17"/>
        <v>Property</v>
      </c>
      <c r="D184" s="1" t="s">
        <v>265</v>
      </c>
      <c r="E184" s="1" t="s">
        <v>20</v>
      </c>
      <c r="F184" s="1" t="s">
        <v>15</v>
      </c>
      <c r="G184" s="1" t="s">
        <v>239</v>
      </c>
      <c r="H184" s="1" t="s">
        <v>15</v>
      </c>
      <c r="I184" s="1" t="s">
        <v>239</v>
      </c>
      <c r="J184" s="1" t="s">
        <v>231</v>
      </c>
      <c r="K184" s="1" t="s">
        <v>240</v>
      </c>
      <c r="L184" s="1" t="s">
        <v>15</v>
      </c>
      <c r="M184" s="1">
        <f t="shared" si="18"/>
        <v>44</v>
      </c>
    </row>
    <row r="185" spans="1:13" x14ac:dyDescent="0.2">
      <c r="A185" s="1" t="s">
        <v>72</v>
      </c>
      <c r="B185" s="1" t="str">
        <f t="shared" si="16"/>
        <v>Operations</v>
      </c>
      <c r="C185" s="1" t="str">
        <f t="shared" si="17"/>
        <v>Property</v>
      </c>
      <c r="D185" s="1" t="s">
        <v>266</v>
      </c>
      <c r="E185" s="1" t="s">
        <v>267</v>
      </c>
      <c r="F185" s="1" t="s">
        <v>15</v>
      </c>
      <c r="G185" s="1" t="s">
        <v>239</v>
      </c>
      <c r="H185" s="1" t="s">
        <v>267</v>
      </c>
      <c r="I185" s="1" t="s">
        <v>239</v>
      </c>
      <c r="J185" s="1" t="s">
        <v>231</v>
      </c>
      <c r="K185" s="1" t="s">
        <v>240</v>
      </c>
      <c r="L185" s="1" t="s">
        <v>15</v>
      </c>
      <c r="M185" s="1">
        <f t="shared" si="18"/>
        <v>44</v>
      </c>
    </row>
    <row r="186" spans="1:13" x14ac:dyDescent="0.2">
      <c r="A186" s="1" t="s">
        <v>72</v>
      </c>
      <c r="B186" s="1" t="str">
        <f t="shared" si="16"/>
        <v>Operations</v>
      </c>
      <c r="C186" s="1" t="str">
        <f t="shared" si="17"/>
        <v>Property</v>
      </c>
      <c r="D186" s="1" t="s">
        <v>268</v>
      </c>
      <c r="E186" s="1" t="s">
        <v>20</v>
      </c>
      <c r="F186" s="1" t="s">
        <v>15</v>
      </c>
      <c r="G186" s="1" t="s">
        <v>239</v>
      </c>
      <c r="H186" s="1" t="s">
        <v>15</v>
      </c>
      <c r="I186" s="1" t="s">
        <v>239</v>
      </c>
      <c r="J186" s="1" t="s">
        <v>231</v>
      </c>
      <c r="K186" s="1" t="s">
        <v>240</v>
      </c>
      <c r="L186" s="1" t="s">
        <v>15</v>
      </c>
      <c r="M186" s="1">
        <f t="shared" si="18"/>
        <v>44</v>
      </c>
    </row>
    <row r="187" spans="1:13" x14ac:dyDescent="0.2">
      <c r="A187" s="1" t="s">
        <v>72</v>
      </c>
      <c r="B187" s="1" t="str">
        <f t="shared" si="16"/>
        <v>Operations</v>
      </c>
      <c r="C187" s="1" t="str">
        <f t="shared" si="17"/>
        <v>Finance</v>
      </c>
      <c r="D187" s="1" t="s">
        <v>269</v>
      </c>
      <c r="E187" s="1" t="s">
        <v>20</v>
      </c>
      <c r="F187" s="1" t="s">
        <v>15</v>
      </c>
      <c r="G187" s="1" t="s">
        <v>270</v>
      </c>
      <c r="H187" s="1" t="s">
        <v>15</v>
      </c>
      <c r="I187" s="1" t="s">
        <v>270</v>
      </c>
      <c r="J187" s="1" t="s">
        <v>271</v>
      </c>
      <c r="K187" s="1" t="s">
        <v>271</v>
      </c>
      <c r="L187" s="1" t="s">
        <v>15</v>
      </c>
      <c r="M187" s="1">
        <f t="shared" si="18"/>
        <v>44</v>
      </c>
    </row>
    <row r="188" spans="1:13" x14ac:dyDescent="0.2">
      <c r="A188" s="1" t="s">
        <v>72</v>
      </c>
      <c r="B188" s="1" t="str">
        <f t="shared" si="16"/>
        <v>Operations</v>
      </c>
      <c r="C188" s="1" t="str">
        <f t="shared" si="17"/>
        <v>Finance</v>
      </c>
      <c r="D188" s="1" t="s">
        <v>272</v>
      </c>
      <c r="E188" s="1" t="s">
        <v>14</v>
      </c>
      <c r="F188" s="1" t="s">
        <v>15</v>
      </c>
      <c r="G188" s="1" t="s">
        <v>270</v>
      </c>
      <c r="H188" s="1" t="s">
        <v>15</v>
      </c>
      <c r="I188" s="1" t="s">
        <v>270</v>
      </c>
      <c r="J188" s="1" t="s">
        <v>271</v>
      </c>
      <c r="K188" s="1" t="s">
        <v>271</v>
      </c>
      <c r="L188" s="1" t="s">
        <v>15</v>
      </c>
      <c r="M188" s="1">
        <f t="shared" si="18"/>
        <v>44</v>
      </c>
    </row>
    <row r="189" spans="1:13" x14ac:dyDescent="0.2">
      <c r="A189" s="1" t="s">
        <v>72</v>
      </c>
      <c r="B189" s="1" t="str">
        <f t="shared" si="16"/>
        <v>Operations</v>
      </c>
      <c r="C189" s="1" t="str">
        <f t="shared" si="17"/>
        <v>Finance</v>
      </c>
      <c r="D189" s="1" t="s">
        <v>273</v>
      </c>
      <c r="E189" s="1" t="s">
        <v>20</v>
      </c>
      <c r="F189" s="1" t="s">
        <v>15</v>
      </c>
      <c r="G189" s="1" t="s">
        <v>270</v>
      </c>
      <c r="H189" s="1" t="s">
        <v>15</v>
      </c>
      <c r="I189" s="1" t="s">
        <v>270</v>
      </c>
      <c r="J189" s="1" t="s">
        <v>271</v>
      </c>
      <c r="K189" s="1" t="s">
        <v>271</v>
      </c>
      <c r="L189" s="1" t="s">
        <v>15</v>
      </c>
      <c r="M189" s="1">
        <f t="shared" si="18"/>
        <v>44</v>
      </c>
    </row>
    <row r="190" spans="1:13" x14ac:dyDescent="0.2">
      <c r="A190" s="1" t="s">
        <v>72</v>
      </c>
      <c r="B190" s="1" t="str">
        <f t="shared" si="16"/>
        <v>Operations</v>
      </c>
      <c r="C190" s="1" t="str">
        <f t="shared" si="17"/>
        <v>Finance</v>
      </c>
      <c r="D190" t="s">
        <v>274</v>
      </c>
      <c r="E190" s="1" t="s">
        <v>20</v>
      </c>
      <c r="F190" s="1" t="s">
        <v>15</v>
      </c>
      <c r="G190" s="1" t="s">
        <v>270</v>
      </c>
      <c r="H190" s="1" t="s">
        <v>15</v>
      </c>
      <c r="I190" s="1" t="s">
        <v>270</v>
      </c>
      <c r="J190" s="1" t="s">
        <v>271</v>
      </c>
      <c r="K190" s="1" t="s">
        <v>271</v>
      </c>
      <c r="L190" s="1" t="s">
        <v>15</v>
      </c>
      <c r="M190" s="1">
        <f t="shared" si="18"/>
        <v>44</v>
      </c>
    </row>
    <row r="191" spans="1:13" x14ac:dyDescent="0.2">
      <c r="A191" s="1" t="s">
        <v>72</v>
      </c>
      <c r="B191" s="1" t="str">
        <f t="shared" si="16"/>
        <v>Operations</v>
      </c>
      <c r="C191" s="1" t="str">
        <f t="shared" si="17"/>
        <v>Finance</v>
      </c>
      <c r="D191" s="1" t="s">
        <v>275</v>
      </c>
      <c r="E191" s="1" t="s">
        <v>20</v>
      </c>
      <c r="F191" s="1" t="s">
        <v>15</v>
      </c>
      <c r="G191" s="1" t="s">
        <v>270</v>
      </c>
      <c r="H191" s="1" t="s">
        <v>15</v>
      </c>
      <c r="I191" s="1" t="s">
        <v>270</v>
      </c>
      <c r="J191" s="1" t="s">
        <v>271</v>
      </c>
      <c r="K191" s="1" t="s">
        <v>271</v>
      </c>
      <c r="L191" s="1" t="s">
        <v>15</v>
      </c>
      <c r="M191" s="1">
        <f t="shared" si="18"/>
        <v>44</v>
      </c>
    </row>
    <row r="192" spans="1:13" x14ac:dyDescent="0.2">
      <c r="A192" s="1" t="s">
        <v>72</v>
      </c>
      <c r="B192" s="1" t="str">
        <f t="shared" si="16"/>
        <v>Operations</v>
      </c>
      <c r="C192" s="1" t="str">
        <f t="shared" si="17"/>
        <v>Finance</v>
      </c>
      <c r="D192" s="1" t="s">
        <v>276</v>
      </c>
      <c r="E192" s="1" t="s">
        <v>20</v>
      </c>
      <c r="F192" s="1" t="s">
        <v>15</v>
      </c>
      <c r="G192" s="1" t="s">
        <v>270</v>
      </c>
      <c r="H192" s="1" t="s">
        <v>15</v>
      </c>
      <c r="I192" s="1" t="s">
        <v>270</v>
      </c>
      <c r="J192" s="1" t="s">
        <v>271</v>
      </c>
      <c r="K192" s="1" t="s">
        <v>271</v>
      </c>
      <c r="L192" s="1" t="s">
        <v>15</v>
      </c>
      <c r="M192" s="1">
        <f t="shared" si="18"/>
        <v>44</v>
      </c>
    </row>
    <row r="193" spans="1:13" x14ac:dyDescent="0.2">
      <c r="A193" s="1" t="s">
        <v>72</v>
      </c>
      <c r="B193" s="1" t="str">
        <f t="shared" si="16"/>
        <v>Operations</v>
      </c>
      <c r="C193" s="1" t="str">
        <f t="shared" si="17"/>
        <v>Finance</v>
      </c>
      <c r="D193" s="1" t="s">
        <v>277</v>
      </c>
      <c r="E193" s="1" t="s">
        <v>20</v>
      </c>
      <c r="F193" s="1" t="s">
        <v>15</v>
      </c>
      <c r="G193" s="1" t="s">
        <v>270</v>
      </c>
      <c r="H193" s="1" t="s">
        <v>15</v>
      </c>
      <c r="I193" s="1" t="s">
        <v>270</v>
      </c>
      <c r="J193" s="1" t="s">
        <v>271</v>
      </c>
      <c r="K193" s="1" t="s">
        <v>271</v>
      </c>
      <c r="L193" s="1" t="s">
        <v>15</v>
      </c>
      <c r="M193" s="1">
        <f t="shared" si="18"/>
        <v>44</v>
      </c>
    </row>
    <row r="194" spans="1:13" x14ac:dyDescent="0.2">
      <c r="A194" s="1" t="s">
        <v>72</v>
      </c>
      <c r="B194" s="1" t="str">
        <f t="shared" si="16"/>
        <v>Operations</v>
      </c>
      <c r="C194" s="1" t="str">
        <f t="shared" si="17"/>
        <v>Finance</v>
      </c>
      <c r="D194" s="1" t="s">
        <v>278</v>
      </c>
      <c r="E194" s="1" t="s">
        <v>20</v>
      </c>
      <c r="F194" s="1" t="s">
        <v>15</v>
      </c>
      <c r="G194" s="1" t="s">
        <v>270</v>
      </c>
      <c r="H194" s="1" t="s">
        <v>15</v>
      </c>
      <c r="I194" s="1" t="s">
        <v>270</v>
      </c>
      <c r="J194" s="1" t="s">
        <v>271</v>
      </c>
      <c r="K194" s="1" t="s">
        <v>271</v>
      </c>
      <c r="L194" s="1" t="s">
        <v>15</v>
      </c>
      <c r="M194" s="1">
        <f t="shared" si="18"/>
        <v>44</v>
      </c>
    </row>
    <row r="195" spans="1:13" x14ac:dyDescent="0.2">
      <c r="A195" s="1" t="s">
        <v>72</v>
      </c>
      <c r="B195" s="1" t="str">
        <f t="shared" si="16"/>
        <v>Operations</v>
      </c>
      <c r="C195" s="1" t="str">
        <f t="shared" si="17"/>
        <v>Finance</v>
      </c>
      <c r="D195" s="1" t="s">
        <v>279</v>
      </c>
      <c r="E195" s="1" t="s">
        <v>20</v>
      </c>
      <c r="F195" s="1" t="s">
        <v>15</v>
      </c>
      <c r="G195" s="1" t="s">
        <v>270</v>
      </c>
      <c r="H195" s="1" t="s">
        <v>15</v>
      </c>
      <c r="I195" s="1" t="s">
        <v>270</v>
      </c>
      <c r="J195" s="1" t="s">
        <v>271</v>
      </c>
      <c r="K195" s="1" t="s">
        <v>271</v>
      </c>
      <c r="L195" s="1" t="s">
        <v>15</v>
      </c>
      <c r="M195" s="1">
        <f t="shared" si="18"/>
        <v>44</v>
      </c>
    </row>
    <row r="196" spans="1:13" x14ac:dyDescent="0.2">
      <c r="A196" s="1" t="s">
        <v>72</v>
      </c>
      <c r="B196" s="1" t="str">
        <f t="shared" si="16"/>
        <v>Operations</v>
      </c>
      <c r="C196" s="1" t="str">
        <f t="shared" si="17"/>
        <v>Archives</v>
      </c>
      <c r="D196" s="1" t="s">
        <v>280</v>
      </c>
      <c r="E196" s="1" t="s">
        <v>20</v>
      </c>
      <c r="F196" s="1" t="s">
        <v>15</v>
      </c>
      <c r="G196" s="1" t="s">
        <v>281</v>
      </c>
      <c r="H196" s="1" t="s">
        <v>15</v>
      </c>
      <c r="I196" s="1" t="s">
        <v>281</v>
      </c>
      <c r="J196" s="1" t="s">
        <v>282</v>
      </c>
      <c r="K196" s="1" t="s">
        <v>282</v>
      </c>
      <c r="L196" s="1" t="s">
        <v>133</v>
      </c>
      <c r="M196" s="1">
        <f t="shared" si="18"/>
        <v>44</v>
      </c>
    </row>
    <row r="197" spans="1:13" x14ac:dyDescent="0.2">
      <c r="A197" s="1" t="s">
        <v>72</v>
      </c>
      <c r="B197" s="1" t="str">
        <f t="shared" si="16"/>
        <v>Operations</v>
      </c>
      <c r="C197" s="1" t="str">
        <f t="shared" si="17"/>
        <v>Archives</v>
      </c>
      <c r="D197" s="1" t="s">
        <v>283</v>
      </c>
      <c r="E197" s="1" t="s">
        <v>20</v>
      </c>
      <c r="F197" s="1" t="s">
        <v>15</v>
      </c>
      <c r="G197" s="1" t="s">
        <v>281</v>
      </c>
      <c r="H197" s="1" t="s">
        <v>15</v>
      </c>
      <c r="I197" s="1" t="s">
        <v>281</v>
      </c>
      <c r="J197" s="1" t="s">
        <v>282</v>
      </c>
      <c r="K197" s="1" t="s">
        <v>282</v>
      </c>
      <c r="L197" s="1" t="s">
        <v>133</v>
      </c>
      <c r="M197" s="1">
        <f t="shared" si="18"/>
        <v>44</v>
      </c>
    </row>
    <row r="198" spans="1:13" x14ac:dyDescent="0.2">
      <c r="A198" s="1" t="s">
        <v>72</v>
      </c>
      <c r="B198" s="1" t="str">
        <f t="shared" si="16"/>
        <v>Operations</v>
      </c>
      <c r="C198" s="1" t="str">
        <f t="shared" si="17"/>
        <v>Archives</v>
      </c>
      <c r="D198" s="1" t="s">
        <v>284</v>
      </c>
      <c r="E198" s="1" t="s">
        <v>20</v>
      </c>
      <c r="F198" s="1" t="s">
        <v>15</v>
      </c>
      <c r="G198" s="1" t="s">
        <v>281</v>
      </c>
      <c r="H198" s="1" t="s">
        <v>15</v>
      </c>
      <c r="I198" s="1" t="s">
        <v>281</v>
      </c>
      <c r="J198" s="1" t="s">
        <v>282</v>
      </c>
      <c r="K198" s="1" t="s">
        <v>282</v>
      </c>
      <c r="L198" s="1" t="s">
        <v>133</v>
      </c>
      <c r="M198" s="1">
        <f t="shared" si="18"/>
        <v>44</v>
      </c>
    </row>
    <row r="199" spans="1:13" x14ac:dyDescent="0.2">
      <c r="A199" s="1" t="s">
        <v>72</v>
      </c>
      <c r="B199" s="1" t="str">
        <f t="shared" si="16"/>
        <v>Personnel</v>
      </c>
      <c r="C199" s="1" t="str">
        <f t="shared" si="17"/>
        <v>Office</v>
      </c>
      <c r="D199" s="1" t="s">
        <v>285</v>
      </c>
      <c r="E199" s="4" t="s">
        <v>54</v>
      </c>
      <c r="F199" s="1" t="s">
        <v>74</v>
      </c>
      <c r="G199" s="1" t="s">
        <v>286</v>
      </c>
      <c r="H199" s="1" t="s">
        <v>74</v>
      </c>
      <c r="I199" s="1" t="s">
        <v>286</v>
      </c>
      <c r="J199" s="1" t="s">
        <v>287</v>
      </c>
      <c r="K199" s="1" t="s">
        <v>288</v>
      </c>
      <c r="L199" s="1" t="s">
        <v>74</v>
      </c>
      <c r="M199" s="1">
        <f t="shared" si="18"/>
        <v>45</v>
      </c>
    </row>
    <row r="200" spans="1:13" x14ac:dyDescent="0.2">
      <c r="A200" s="1" t="s">
        <v>72</v>
      </c>
      <c r="B200" s="1" t="str">
        <f t="shared" si="16"/>
        <v>Personnel</v>
      </c>
      <c r="C200" s="1" t="str">
        <f t="shared" si="17"/>
        <v>Office</v>
      </c>
      <c r="D200" s="1" t="s">
        <v>289</v>
      </c>
      <c r="E200" s="1" t="s">
        <v>20</v>
      </c>
      <c r="F200" s="1" t="s">
        <v>74</v>
      </c>
      <c r="G200" s="1" t="s">
        <v>286</v>
      </c>
      <c r="H200" s="1" t="s">
        <v>74</v>
      </c>
      <c r="I200" s="1" t="s">
        <v>286</v>
      </c>
      <c r="J200" s="1" t="s">
        <v>287</v>
      </c>
      <c r="K200" s="1" t="s">
        <v>288</v>
      </c>
      <c r="L200" s="1" t="s">
        <v>74</v>
      </c>
      <c r="M200" s="1">
        <f t="shared" si="18"/>
        <v>45</v>
      </c>
    </row>
    <row r="201" spans="1:13" x14ac:dyDescent="0.2">
      <c r="A201" s="1" t="s">
        <v>72</v>
      </c>
      <c r="B201" s="1" t="str">
        <f t="shared" si="16"/>
        <v>Personnel</v>
      </c>
      <c r="C201" s="1" t="str">
        <f t="shared" si="17"/>
        <v>Office</v>
      </c>
      <c r="D201" s="1" t="s">
        <v>290</v>
      </c>
      <c r="E201" s="1" t="s">
        <v>20</v>
      </c>
      <c r="F201" s="1" t="s">
        <v>74</v>
      </c>
      <c r="G201" s="1" t="s">
        <v>286</v>
      </c>
      <c r="H201" s="1" t="s">
        <v>74</v>
      </c>
      <c r="I201" s="1" t="s">
        <v>286</v>
      </c>
      <c r="J201" s="1" t="s">
        <v>287</v>
      </c>
      <c r="K201" s="1" t="s">
        <v>288</v>
      </c>
      <c r="L201" s="1" t="s">
        <v>74</v>
      </c>
      <c r="M201" s="1">
        <f t="shared" si="18"/>
        <v>45</v>
      </c>
    </row>
    <row r="202" spans="1:13" x14ac:dyDescent="0.2">
      <c r="A202" s="1" t="s">
        <v>72</v>
      </c>
      <c r="B202" s="1" t="str">
        <f t="shared" si="16"/>
        <v>Personnel</v>
      </c>
      <c r="C202" s="1" t="str">
        <f t="shared" si="17"/>
        <v>Office</v>
      </c>
      <c r="D202" s="1" t="s">
        <v>291</v>
      </c>
      <c r="E202" s="1" t="s">
        <v>20</v>
      </c>
      <c r="F202" s="1" t="s">
        <v>74</v>
      </c>
      <c r="G202" s="1" t="s">
        <v>286</v>
      </c>
      <c r="H202" s="1" t="s">
        <v>74</v>
      </c>
      <c r="I202" s="1" t="s">
        <v>286</v>
      </c>
      <c r="J202" s="1" t="s">
        <v>287</v>
      </c>
      <c r="K202" s="1" t="s">
        <v>288</v>
      </c>
      <c r="L202" s="1" t="s">
        <v>74</v>
      </c>
      <c r="M202" s="1">
        <f t="shared" si="18"/>
        <v>45</v>
      </c>
    </row>
    <row r="203" spans="1:13" x14ac:dyDescent="0.2">
      <c r="A203" s="1" t="s">
        <v>72</v>
      </c>
      <c r="B203" s="1" t="str">
        <f t="shared" si="16"/>
        <v>Personnel</v>
      </c>
      <c r="C203" s="1" t="str">
        <f t="shared" si="17"/>
        <v>Office</v>
      </c>
      <c r="D203" s="1" t="s">
        <v>292</v>
      </c>
      <c r="E203" s="1" t="s">
        <v>20</v>
      </c>
      <c r="F203" s="1" t="s">
        <v>74</v>
      </c>
      <c r="G203" s="1" t="s">
        <v>286</v>
      </c>
      <c r="H203" s="1" t="s">
        <v>74</v>
      </c>
      <c r="I203" s="1" t="s">
        <v>286</v>
      </c>
      <c r="J203" s="1" t="s">
        <v>287</v>
      </c>
      <c r="K203" s="1" t="s">
        <v>288</v>
      </c>
      <c r="L203" s="1" t="s">
        <v>74</v>
      </c>
      <c r="M203" s="1">
        <f t="shared" si="18"/>
        <v>45</v>
      </c>
    </row>
    <row r="204" spans="1:13" ht="14.25" x14ac:dyDescent="0.2">
      <c r="A204" s="1" t="s">
        <v>72</v>
      </c>
      <c r="B204" s="1" t="str">
        <f t="shared" si="16"/>
        <v>Operations</v>
      </c>
      <c r="C204" s="1" t="str">
        <f t="shared" si="17"/>
        <v>Office</v>
      </c>
      <c r="D204" s="8" t="s">
        <v>293</v>
      </c>
      <c r="E204" s="1" t="s">
        <v>20</v>
      </c>
      <c r="F204" s="1" t="s">
        <v>15</v>
      </c>
      <c r="G204" s="1" t="s">
        <v>286</v>
      </c>
      <c r="H204" s="1" t="s">
        <v>15</v>
      </c>
      <c r="I204" s="1" t="s">
        <v>286</v>
      </c>
      <c r="J204" s="1" t="s">
        <v>287</v>
      </c>
      <c r="K204" s="1" t="s">
        <v>294</v>
      </c>
      <c r="L204" s="1" t="s">
        <v>15</v>
      </c>
      <c r="M204" s="1">
        <f t="shared" si="18"/>
        <v>46</v>
      </c>
    </row>
    <row r="205" spans="1:13" ht="14.25" x14ac:dyDescent="0.2">
      <c r="A205" s="1" t="s">
        <v>72</v>
      </c>
      <c r="B205" s="1" t="str">
        <f t="shared" si="16"/>
        <v>Personnel</v>
      </c>
      <c r="C205" s="1" t="str">
        <f t="shared" si="17"/>
        <v>Office</v>
      </c>
      <c r="D205" s="8" t="s">
        <v>295</v>
      </c>
      <c r="E205" s="1" t="s">
        <v>20</v>
      </c>
      <c r="F205" s="1" t="s">
        <v>74</v>
      </c>
      <c r="G205" s="1" t="s">
        <v>286</v>
      </c>
      <c r="H205" s="1" t="s">
        <v>74</v>
      </c>
      <c r="I205" s="1" t="s">
        <v>286</v>
      </c>
      <c r="J205" s="1" t="s">
        <v>287</v>
      </c>
      <c r="K205" s="1" t="s">
        <v>294</v>
      </c>
      <c r="L205" s="1" t="s">
        <v>74</v>
      </c>
      <c r="M205" s="1">
        <f t="shared" si="18"/>
        <v>47</v>
      </c>
    </row>
    <row r="206" spans="1:13" x14ac:dyDescent="0.2">
      <c r="A206" s="1" t="s">
        <v>72</v>
      </c>
      <c r="B206" s="1" t="str">
        <f t="shared" si="16"/>
        <v>Operations</v>
      </c>
      <c r="C206" s="1" t="str">
        <f t="shared" si="17"/>
        <v>Office</v>
      </c>
      <c r="D206" s="1" t="s">
        <v>296</v>
      </c>
      <c r="E206" s="1" t="s">
        <v>20</v>
      </c>
      <c r="F206" s="1" t="s">
        <v>15</v>
      </c>
      <c r="G206" s="1" t="s">
        <v>286</v>
      </c>
      <c r="H206" s="1" t="s">
        <v>15</v>
      </c>
      <c r="I206" s="1" t="s">
        <v>286</v>
      </c>
      <c r="J206" s="1" t="s">
        <v>287</v>
      </c>
      <c r="K206" s="1" t="s">
        <v>294</v>
      </c>
      <c r="L206" s="1" t="s">
        <v>15</v>
      </c>
      <c r="M206" s="1">
        <f t="shared" si="18"/>
        <v>48</v>
      </c>
    </row>
    <row r="207" spans="1:13" x14ac:dyDescent="0.2">
      <c r="A207" s="1" t="s">
        <v>72</v>
      </c>
      <c r="B207" s="1" t="str">
        <f t="shared" si="16"/>
        <v>Operations</v>
      </c>
      <c r="C207" s="1" t="str">
        <f t="shared" si="17"/>
        <v>Office</v>
      </c>
      <c r="D207" s="1" t="s">
        <v>297</v>
      </c>
      <c r="E207" s="1" t="s">
        <v>20</v>
      </c>
      <c r="F207" s="1" t="s">
        <v>15</v>
      </c>
      <c r="G207" s="1" t="s">
        <v>286</v>
      </c>
      <c r="H207" s="1" t="s">
        <v>15</v>
      </c>
      <c r="I207" s="1" t="s">
        <v>286</v>
      </c>
      <c r="J207" s="1" t="s">
        <v>287</v>
      </c>
      <c r="K207" s="1" t="s">
        <v>294</v>
      </c>
      <c r="L207" s="1" t="s">
        <v>15</v>
      </c>
      <c r="M207" s="1">
        <f t="shared" si="18"/>
        <v>48</v>
      </c>
    </row>
    <row r="208" spans="1:13" x14ac:dyDescent="0.2">
      <c r="A208" s="1" t="s">
        <v>72</v>
      </c>
      <c r="B208" s="1" t="str">
        <f t="shared" si="16"/>
        <v>Operations</v>
      </c>
      <c r="C208" s="1" t="str">
        <f t="shared" si="17"/>
        <v>Office</v>
      </c>
      <c r="D208" s="1" t="s">
        <v>298</v>
      </c>
      <c r="E208" s="1" t="s">
        <v>20</v>
      </c>
      <c r="F208" s="1" t="s">
        <v>15</v>
      </c>
      <c r="G208" s="1" t="s">
        <v>286</v>
      </c>
      <c r="H208" s="1" t="s">
        <v>15</v>
      </c>
      <c r="I208" s="1" t="s">
        <v>286</v>
      </c>
      <c r="J208" s="1" t="s">
        <v>287</v>
      </c>
      <c r="K208" s="1" t="s">
        <v>294</v>
      </c>
      <c r="L208" s="1" t="s">
        <v>15</v>
      </c>
      <c r="M208" s="1">
        <f t="shared" si="18"/>
        <v>48</v>
      </c>
    </row>
    <row r="209" spans="1:13" x14ac:dyDescent="0.2">
      <c r="A209" s="1" t="s">
        <v>72</v>
      </c>
      <c r="B209" s="1" t="str">
        <f t="shared" si="16"/>
        <v>Operations</v>
      </c>
      <c r="C209" s="1" t="str">
        <f t="shared" si="17"/>
        <v>Office</v>
      </c>
      <c r="D209" s="1" t="s">
        <v>299</v>
      </c>
      <c r="E209" s="1" t="s">
        <v>20</v>
      </c>
      <c r="F209" s="1" t="s">
        <v>15</v>
      </c>
      <c r="G209" s="1" t="s">
        <v>286</v>
      </c>
      <c r="H209" s="1" t="s">
        <v>15</v>
      </c>
      <c r="I209" s="1" t="s">
        <v>286</v>
      </c>
      <c r="J209" s="1" t="s">
        <v>287</v>
      </c>
      <c r="K209" s="1" t="s">
        <v>294</v>
      </c>
      <c r="L209" s="1" t="s">
        <v>15</v>
      </c>
      <c r="M209" s="1">
        <f t="shared" si="18"/>
        <v>48</v>
      </c>
    </row>
    <row r="210" spans="1:13" x14ac:dyDescent="0.2">
      <c r="A210" s="1" t="s">
        <v>72</v>
      </c>
      <c r="B210" s="1" t="str">
        <f t="shared" si="16"/>
        <v>Operations</v>
      </c>
      <c r="C210" s="1" t="str">
        <f t="shared" si="17"/>
        <v>Office</v>
      </c>
      <c r="D210" s="1" t="s">
        <v>300</v>
      </c>
      <c r="E210" s="1" t="s">
        <v>20</v>
      </c>
      <c r="F210" s="1" t="s">
        <v>15</v>
      </c>
      <c r="G210" s="1" t="s">
        <v>286</v>
      </c>
      <c r="H210" s="1" t="s">
        <v>15</v>
      </c>
      <c r="I210" s="1" t="s">
        <v>286</v>
      </c>
      <c r="J210" s="1" t="s">
        <v>287</v>
      </c>
      <c r="K210" s="1" t="s">
        <v>294</v>
      </c>
      <c r="L210" s="1" t="s">
        <v>15</v>
      </c>
      <c r="M210" s="1">
        <f t="shared" si="18"/>
        <v>48</v>
      </c>
    </row>
    <row r="211" spans="1:13" x14ac:dyDescent="0.2">
      <c r="A211" s="1" t="s">
        <v>72</v>
      </c>
      <c r="B211" s="1" t="str">
        <f t="shared" si="16"/>
        <v>Operations</v>
      </c>
      <c r="C211" s="1" t="str">
        <f t="shared" si="17"/>
        <v>Office</v>
      </c>
      <c r="D211" s="1" t="s">
        <v>301</v>
      </c>
      <c r="E211" s="1" t="s">
        <v>20</v>
      </c>
      <c r="F211" s="1" t="s">
        <v>15</v>
      </c>
      <c r="G211" s="1" t="s">
        <v>286</v>
      </c>
      <c r="H211" s="1" t="s">
        <v>15</v>
      </c>
      <c r="I211" s="1" t="s">
        <v>286</v>
      </c>
      <c r="J211" s="1" t="s">
        <v>287</v>
      </c>
      <c r="K211" s="1" t="s">
        <v>294</v>
      </c>
      <c r="L211" s="1" t="s">
        <v>15</v>
      </c>
      <c r="M211" s="1">
        <f t="shared" si="18"/>
        <v>48</v>
      </c>
    </row>
    <row r="212" spans="1:13" x14ac:dyDescent="0.2">
      <c r="A212" s="1" t="s">
        <v>72</v>
      </c>
      <c r="B212" s="1" t="str">
        <f t="shared" si="16"/>
        <v>Operations</v>
      </c>
      <c r="C212" s="1" t="str">
        <f t="shared" si="17"/>
        <v>Office</v>
      </c>
      <c r="D212" s="1" t="s">
        <v>302</v>
      </c>
      <c r="E212" s="1" t="s">
        <v>20</v>
      </c>
      <c r="F212" s="1" t="s">
        <v>15</v>
      </c>
      <c r="G212" s="1" t="s">
        <v>286</v>
      </c>
      <c r="H212" s="1" t="s">
        <v>15</v>
      </c>
      <c r="I212" s="1" t="s">
        <v>286</v>
      </c>
      <c r="J212" s="1" t="s">
        <v>287</v>
      </c>
      <c r="K212" s="1" t="s">
        <v>294</v>
      </c>
      <c r="L212" s="1" t="s">
        <v>15</v>
      </c>
      <c r="M212" s="1">
        <f t="shared" si="18"/>
        <v>48</v>
      </c>
    </row>
    <row r="213" spans="1:13" x14ac:dyDescent="0.2">
      <c r="A213" s="1" t="s">
        <v>72</v>
      </c>
      <c r="B213" s="1" t="str">
        <f t="shared" si="16"/>
        <v>Operations</v>
      </c>
      <c r="C213" s="1" t="str">
        <f t="shared" si="17"/>
        <v>Office</v>
      </c>
      <c r="D213" s="1" t="s">
        <v>303</v>
      </c>
      <c r="E213" s="1" t="s">
        <v>20</v>
      </c>
      <c r="F213" s="1" t="s">
        <v>15</v>
      </c>
      <c r="G213" s="1" t="s">
        <v>286</v>
      </c>
      <c r="H213" s="1" t="s">
        <v>15</v>
      </c>
      <c r="I213" s="1" t="s">
        <v>286</v>
      </c>
      <c r="J213" s="1" t="s">
        <v>287</v>
      </c>
      <c r="K213" s="1" t="s">
        <v>294</v>
      </c>
      <c r="L213" s="1" t="s">
        <v>15</v>
      </c>
      <c r="M213" s="1">
        <f t="shared" si="18"/>
        <v>48</v>
      </c>
    </row>
    <row r="214" spans="1:13" x14ac:dyDescent="0.2">
      <c r="A214" s="1" t="s">
        <v>72</v>
      </c>
      <c r="B214" s="1" t="str">
        <f t="shared" si="16"/>
        <v>Operations</v>
      </c>
      <c r="C214" s="1" t="str">
        <f t="shared" si="17"/>
        <v>Office</v>
      </c>
      <c r="D214" s="1" t="s">
        <v>304</v>
      </c>
      <c r="E214" s="1" t="s">
        <v>20</v>
      </c>
      <c r="F214" s="1" t="s">
        <v>15</v>
      </c>
      <c r="G214" s="1" t="s">
        <v>286</v>
      </c>
      <c r="H214" s="1" t="s">
        <v>15</v>
      </c>
      <c r="I214" s="1" t="s">
        <v>286</v>
      </c>
      <c r="J214" s="1" t="s">
        <v>287</v>
      </c>
      <c r="K214" s="1" t="s">
        <v>294</v>
      </c>
      <c r="L214" s="1" t="s">
        <v>15</v>
      </c>
      <c r="M214" s="1">
        <f t="shared" ref="M214:M238" si="19">IF(B214=B213,M213,M213+1)</f>
        <v>48</v>
      </c>
    </row>
    <row r="215" spans="1:13" x14ac:dyDescent="0.2">
      <c r="A215" s="1" t="s">
        <v>72</v>
      </c>
      <c r="B215" s="1" t="str">
        <f t="shared" si="16"/>
        <v>Operations</v>
      </c>
      <c r="C215" s="1" t="str">
        <f t="shared" si="17"/>
        <v>Office</v>
      </c>
      <c r="D215" s="1" t="s">
        <v>305</v>
      </c>
      <c r="E215" s="1" t="s">
        <v>20</v>
      </c>
      <c r="F215" s="1" t="s">
        <v>15</v>
      </c>
      <c r="G215" s="1" t="s">
        <v>286</v>
      </c>
      <c r="H215" s="1" t="s">
        <v>15</v>
      </c>
      <c r="I215" s="1" t="s">
        <v>286</v>
      </c>
      <c r="J215" s="1" t="s">
        <v>287</v>
      </c>
      <c r="K215" s="1" t="s">
        <v>294</v>
      </c>
      <c r="L215" s="1" t="s">
        <v>15</v>
      </c>
      <c r="M215" s="1">
        <f t="shared" si="19"/>
        <v>48</v>
      </c>
    </row>
    <row r="216" spans="1:13" x14ac:dyDescent="0.2">
      <c r="A216" s="1" t="s">
        <v>72</v>
      </c>
      <c r="B216" s="1" t="str">
        <f t="shared" si="16"/>
        <v>Operations</v>
      </c>
      <c r="C216" s="1" t="str">
        <f t="shared" si="17"/>
        <v>Office</v>
      </c>
      <c r="D216" s="1" t="s">
        <v>306</v>
      </c>
      <c r="E216" s="1" t="s">
        <v>20</v>
      </c>
      <c r="F216" s="1" t="s">
        <v>15</v>
      </c>
      <c r="G216" s="1" t="s">
        <v>286</v>
      </c>
      <c r="H216" s="1" t="s">
        <v>15</v>
      </c>
      <c r="I216" s="1" t="s">
        <v>286</v>
      </c>
      <c r="J216" s="1" t="s">
        <v>287</v>
      </c>
      <c r="K216" s="1" t="s">
        <v>294</v>
      </c>
      <c r="L216" s="1" t="s">
        <v>15</v>
      </c>
      <c r="M216" s="1">
        <f t="shared" si="19"/>
        <v>48</v>
      </c>
    </row>
    <row r="217" spans="1:13" x14ac:dyDescent="0.2">
      <c r="A217" s="1" t="s">
        <v>72</v>
      </c>
      <c r="B217" s="1" t="str">
        <f t="shared" si="16"/>
        <v>Operations</v>
      </c>
      <c r="C217" s="1" t="str">
        <f t="shared" si="17"/>
        <v>Office</v>
      </c>
      <c r="D217" s="1" t="s">
        <v>307</v>
      </c>
      <c r="E217" s="1" t="s">
        <v>20</v>
      </c>
      <c r="F217" s="1" t="s">
        <v>15</v>
      </c>
      <c r="G217" s="1" t="s">
        <v>286</v>
      </c>
      <c r="H217" s="1" t="s">
        <v>15</v>
      </c>
      <c r="I217" s="1" t="s">
        <v>286</v>
      </c>
      <c r="J217" s="1" t="s">
        <v>287</v>
      </c>
      <c r="K217" s="1" t="s">
        <v>294</v>
      </c>
      <c r="L217" s="1" t="s">
        <v>15</v>
      </c>
      <c r="M217" s="1">
        <f t="shared" si="19"/>
        <v>48</v>
      </c>
    </row>
    <row r="218" spans="1:13" x14ac:dyDescent="0.2">
      <c r="A218" s="1" t="s">
        <v>72</v>
      </c>
      <c r="B218" s="1" t="str">
        <f t="shared" si="16"/>
        <v>Operations</v>
      </c>
      <c r="C218" s="1" t="str">
        <f t="shared" si="17"/>
        <v>Office</v>
      </c>
      <c r="D218" s="1" t="s">
        <v>308</v>
      </c>
      <c r="E218" s="1" t="s">
        <v>20</v>
      </c>
      <c r="F218" s="1" t="s">
        <v>15</v>
      </c>
      <c r="G218" s="1" t="s">
        <v>286</v>
      </c>
      <c r="H218" s="1" t="s">
        <v>15</v>
      </c>
      <c r="I218" s="1" t="s">
        <v>286</v>
      </c>
      <c r="J218" s="1" t="s">
        <v>287</v>
      </c>
      <c r="K218" s="1" t="s">
        <v>294</v>
      </c>
      <c r="L218" s="1" t="s">
        <v>15</v>
      </c>
      <c r="M218" s="1">
        <f t="shared" si="19"/>
        <v>48</v>
      </c>
    </row>
    <row r="219" spans="1:13" x14ac:dyDescent="0.2">
      <c r="A219" s="1" t="s">
        <v>72</v>
      </c>
      <c r="B219" s="1" t="str">
        <f t="shared" si="16"/>
        <v>Personnel</v>
      </c>
      <c r="C219" s="1" t="str">
        <f t="shared" si="17"/>
        <v>Office</v>
      </c>
      <c r="D219" t="s">
        <v>309</v>
      </c>
      <c r="E219" s="1" t="s">
        <v>20</v>
      </c>
      <c r="F219" s="1" t="s">
        <v>74</v>
      </c>
      <c r="G219" s="1" t="s">
        <v>286</v>
      </c>
      <c r="H219" s="1" t="s">
        <v>74</v>
      </c>
      <c r="I219" s="1" t="s">
        <v>286</v>
      </c>
      <c r="J219" s="1" t="s">
        <v>287</v>
      </c>
      <c r="K219" s="1" t="s">
        <v>294</v>
      </c>
      <c r="L219" s="1" t="s">
        <v>74</v>
      </c>
      <c r="M219" s="1">
        <f t="shared" si="19"/>
        <v>49</v>
      </c>
    </row>
    <row r="220" spans="1:13" x14ac:dyDescent="0.2">
      <c r="A220" s="1" t="s">
        <v>72</v>
      </c>
      <c r="B220" s="1" t="str">
        <f t="shared" si="16"/>
        <v>Operations</v>
      </c>
      <c r="C220" s="1" t="str">
        <f t="shared" si="17"/>
        <v>Communications</v>
      </c>
      <c r="D220" s="1" t="s">
        <v>310</v>
      </c>
      <c r="E220" s="1" t="s">
        <v>20</v>
      </c>
      <c r="F220" s="1" t="s">
        <v>15</v>
      </c>
      <c r="G220" s="1" t="s">
        <v>311</v>
      </c>
      <c r="H220" s="1" t="s">
        <v>15</v>
      </c>
      <c r="I220" s="1" t="s">
        <v>311</v>
      </c>
      <c r="J220" s="1" t="s">
        <v>312</v>
      </c>
      <c r="K220" s="1" t="s">
        <v>313</v>
      </c>
      <c r="L220" s="1" t="s">
        <v>15</v>
      </c>
      <c r="M220" s="1">
        <f t="shared" si="19"/>
        <v>50</v>
      </c>
    </row>
    <row r="221" spans="1:13" x14ac:dyDescent="0.2">
      <c r="A221" s="1" t="s">
        <v>72</v>
      </c>
      <c r="B221" s="1" t="str">
        <f t="shared" si="16"/>
        <v>Operations</v>
      </c>
      <c r="C221" s="1" t="str">
        <f t="shared" si="17"/>
        <v>Communications</v>
      </c>
      <c r="D221" s="1" t="s">
        <v>314</v>
      </c>
      <c r="E221" s="1" t="s">
        <v>20</v>
      </c>
      <c r="F221" s="1" t="s">
        <v>15</v>
      </c>
      <c r="G221" s="1" t="s">
        <v>311</v>
      </c>
      <c r="H221" s="1" t="s">
        <v>15</v>
      </c>
      <c r="I221" s="1" t="s">
        <v>311</v>
      </c>
      <c r="J221" s="1" t="s">
        <v>312</v>
      </c>
      <c r="K221" s="1" t="s">
        <v>313</v>
      </c>
      <c r="L221" s="1" t="s">
        <v>15</v>
      </c>
      <c r="M221" s="1">
        <f t="shared" si="19"/>
        <v>50</v>
      </c>
    </row>
    <row r="222" spans="1:13" x14ac:dyDescent="0.2">
      <c r="A222" s="1" t="s">
        <v>72</v>
      </c>
      <c r="B222" s="1" t="str">
        <f t="shared" si="16"/>
        <v>Operations</v>
      </c>
      <c r="C222" s="1" t="str">
        <f t="shared" si="17"/>
        <v>Communications</v>
      </c>
      <c r="D222" s="1" t="s">
        <v>315</v>
      </c>
      <c r="E222" s="1" t="s">
        <v>20</v>
      </c>
      <c r="F222" s="1" t="s">
        <v>15</v>
      </c>
      <c r="G222" s="1" t="s">
        <v>311</v>
      </c>
      <c r="H222" s="1" t="s">
        <v>15</v>
      </c>
      <c r="I222" s="1" t="s">
        <v>311</v>
      </c>
      <c r="J222" s="1" t="s">
        <v>312</v>
      </c>
      <c r="K222" s="1" t="s">
        <v>313</v>
      </c>
      <c r="L222" s="1" t="s">
        <v>15</v>
      </c>
      <c r="M222" s="1">
        <f t="shared" si="19"/>
        <v>50</v>
      </c>
    </row>
    <row r="223" spans="1:13" x14ac:dyDescent="0.2">
      <c r="A223" s="1" t="s">
        <v>72</v>
      </c>
      <c r="B223" s="1" t="str">
        <f t="shared" si="16"/>
        <v>Operations</v>
      </c>
      <c r="C223" s="1" t="str">
        <f t="shared" si="17"/>
        <v>Communications</v>
      </c>
      <c r="D223" s="1" t="s">
        <v>316</v>
      </c>
      <c r="E223" s="1" t="s">
        <v>20</v>
      </c>
      <c r="F223" s="1" t="s">
        <v>15</v>
      </c>
      <c r="G223" s="1" t="s">
        <v>311</v>
      </c>
      <c r="H223" s="1" t="s">
        <v>15</v>
      </c>
      <c r="I223" s="1" t="s">
        <v>311</v>
      </c>
      <c r="J223" s="1" t="s">
        <v>312</v>
      </c>
      <c r="K223" s="1" t="s">
        <v>313</v>
      </c>
      <c r="L223" s="1" t="s">
        <v>15</v>
      </c>
      <c r="M223" s="1">
        <f t="shared" si="19"/>
        <v>50</v>
      </c>
    </row>
    <row r="224" spans="1:13" x14ac:dyDescent="0.2">
      <c r="A224" s="1" t="s">
        <v>72</v>
      </c>
      <c r="B224" s="1" t="str">
        <f t="shared" si="16"/>
        <v>Operations</v>
      </c>
      <c r="C224" s="1" t="str">
        <f t="shared" si="17"/>
        <v>Communications</v>
      </c>
      <c r="D224" s="1" t="s">
        <v>317</v>
      </c>
      <c r="E224" s="1" t="s">
        <v>20</v>
      </c>
      <c r="F224" s="1" t="s">
        <v>15</v>
      </c>
      <c r="G224" s="1" t="s">
        <v>311</v>
      </c>
      <c r="H224" s="1" t="s">
        <v>15</v>
      </c>
      <c r="I224" s="1" t="s">
        <v>311</v>
      </c>
      <c r="J224" s="1" t="s">
        <v>312</v>
      </c>
      <c r="K224" s="1" t="s">
        <v>313</v>
      </c>
      <c r="L224" s="1" t="s">
        <v>15</v>
      </c>
      <c r="M224" s="1">
        <f t="shared" si="19"/>
        <v>50</v>
      </c>
    </row>
    <row r="225" spans="1:13" x14ac:dyDescent="0.2">
      <c r="A225" s="1" t="s">
        <v>72</v>
      </c>
      <c r="B225" s="1" t="str">
        <f t="shared" si="16"/>
        <v>Operations</v>
      </c>
      <c r="C225" s="1" t="str">
        <f t="shared" si="17"/>
        <v>Communications</v>
      </c>
      <c r="D225" s="1" t="s">
        <v>318</v>
      </c>
      <c r="E225" s="1" t="s">
        <v>20</v>
      </c>
      <c r="F225" s="1" t="s">
        <v>15</v>
      </c>
      <c r="G225" s="1" t="s">
        <v>311</v>
      </c>
      <c r="H225" s="1" t="s">
        <v>15</v>
      </c>
      <c r="I225" s="1" t="s">
        <v>311</v>
      </c>
      <c r="J225" s="1" t="s">
        <v>312</v>
      </c>
      <c r="K225" s="1" t="s">
        <v>313</v>
      </c>
      <c r="L225" s="1" t="s">
        <v>15</v>
      </c>
      <c r="M225" s="1">
        <f t="shared" si="19"/>
        <v>50</v>
      </c>
    </row>
    <row r="226" spans="1:13" x14ac:dyDescent="0.2">
      <c r="A226" s="1" t="s">
        <v>72</v>
      </c>
      <c r="B226" s="1" t="str">
        <f t="shared" si="16"/>
        <v>Personnel</v>
      </c>
      <c r="C226" s="1" t="str">
        <f t="shared" si="17"/>
        <v>Communication Specialist</v>
      </c>
      <c r="D226" s="1" t="s">
        <v>319</v>
      </c>
      <c r="E226" s="1" t="s">
        <v>20</v>
      </c>
      <c r="F226" s="1" t="s">
        <v>74</v>
      </c>
      <c r="G226" s="1" t="s">
        <v>320</v>
      </c>
      <c r="H226" s="1" t="s">
        <v>74</v>
      </c>
      <c r="I226" s="1" t="s">
        <v>320</v>
      </c>
      <c r="J226" s="1" t="s">
        <v>312</v>
      </c>
      <c r="K226" s="1" t="s">
        <v>321</v>
      </c>
      <c r="L226" s="1" t="s">
        <v>74</v>
      </c>
      <c r="M226" s="1">
        <f t="shared" si="19"/>
        <v>51</v>
      </c>
    </row>
    <row r="227" spans="1:13" x14ac:dyDescent="0.2">
      <c r="A227" s="1" t="s">
        <v>72</v>
      </c>
      <c r="B227" s="1" t="str">
        <f t="shared" si="16"/>
        <v>Personnel</v>
      </c>
      <c r="C227" s="1" t="str">
        <f t="shared" si="17"/>
        <v>Communication Specialist</v>
      </c>
      <c r="D227" s="1" t="s">
        <v>322</v>
      </c>
      <c r="E227" s="1" t="s">
        <v>20</v>
      </c>
      <c r="F227" s="1" t="s">
        <v>74</v>
      </c>
      <c r="G227" s="1" t="s">
        <v>320</v>
      </c>
      <c r="H227" s="1" t="s">
        <v>74</v>
      </c>
      <c r="I227" s="1" t="s">
        <v>320</v>
      </c>
      <c r="J227" s="1" t="s">
        <v>312</v>
      </c>
      <c r="K227" s="1" t="s">
        <v>321</v>
      </c>
      <c r="L227" s="1" t="s">
        <v>74</v>
      </c>
      <c r="M227" s="1">
        <f t="shared" si="19"/>
        <v>51</v>
      </c>
    </row>
    <row r="228" spans="1:13" x14ac:dyDescent="0.2">
      <c r="A228" s="1" t="s">
        <v>72</v>
      </c>
      <c r="B228" s="1" t="str">
        <f t="shared" si="16"/>
        <v>Personnel</v>
      </c>
      <c r="C228" s="1" t="str">
        <f t="shared" si="17"/>
        <v>Communication Specialist</v>
      </c>
      <c r="D228" s="1" t="s">
        <v>323</v>
      </c>
      <c r="E228" s="1" t="s">
        <v>20</v>
      </c>
      <c r="F228" s="1" t="s">
        <v>74</v>
      </c>
      <c r="G228" s="1" t="s">
        <v>320</v>
      </c>
      <c r="H228" s="1" t="s">
        <v>74</v>
      </c>
      <c r="I228" s="1" t="s">
        <v>320</v>
      </c>
      <c r="J228" s="1" t="s">
        <v>312</v>
      </c>
      <c r="K228" s="1" t="s">
        <v>321</v>
      </c>
      <c r="L228" s="1" t="s">
        <v>74</v>
      </c>
      <c r="M228" s="1">
        <f t="shared" si="19"/>
        <v>51</v>
      </c>
    </row>
    <row r="229" spans="1:13" x14ac:dyDescent="0.2">
      <c r="A229" s="1" t="s">
        <v>72</v>
      </c>
      <c r="B229" s="1" t="str">
        <f t="shared" ref="B229:B238" si="20">F229</f>
        <v>Personnel</v>
      </c>
      <c r="C229" s="1" t="str">
        <f t="shared" ref="C229:C238" si="21">G229</f>
        <v>Communication Specialist</v>
      </c>
      <c r="D229" s="1" t="s">
        <v>324</v>
      </c>
      <c r="E229" s="4" t="s">
        <v>54</v>
      </c>
      <c r="F229" s="1" t="s">
        <v>74</v>
      </c>
      <c r="G229" s="1" t="s">
        <v>320</v>
      </c>
      <c r="H229" s="1" t="s">
        <v>74</v>
      </c>
      <c r="I229" s="1" t="s">
        <v>320</v>
      </c>
      <c r="J229" s="1" t="s">
        <v>312</v>
      </c>
      <c r="K229" s="1" t="s">
        <v>321</v>
      </c>
      <c r="L229" s="1" t="s">
        <v>74</v>
      </c>
      <c r="M229" s="1">
        <f t="shared" si="19"/>
        <v>51</v>
      </c>
    </row>
    <row r="230" spans="1:13" x14ac:dyDescent="0.2">
      <c r="A230" s="1" t="s">
        <v>12</v>
      </c>
      <c r="B230" s="1" t="str">
        <f t="shared" si="20"/>
        <v>Designated</v>
      </c>
      <c r="C230" s="1" t="str">
        <f t="shared" si="21"/>
        <v>Other income</v>
      </c>
      <c r="D230" s="1" t="s">
        <v>325</v>
      </c>
      <c r="E230" s="1" t="s">
        <v>14</v>
      </c>
      <c r="F230" s="1" t="s">
        <v>40</v>
      </c>
      <c r="G230" s="1" t="s">
        <v>62</v>
      </c>
      <c r="H230" s="1" t="s">
        <v>40</v>
      </c>
      <c r="I230" s="1" t="s">
        <v>62</v>
      </c>
      <c r="J230" s="1" t="s">
        <v>326</v>
      </c>
      <c r="K230" s="1" t="s">
        <v>326</v>
      </c>
      <c r="L230" s="1" t="s">
        <v>62</v>
      </c>
      <c r="M230" s="1">
        <f t="shared" si="19"/>
        <v>52</v>
      </c>
    </row>
    <row r="231" spans="1:13" x14ac:dyDescent="0.2">
      <c r="A231" s="1" t="s">
        <v>12</v>
      </c>
      <c r="B231" s="1" t="str">
        <f t="shared" si="20"/>
        <v>Investment Income - Linear Adjustments</v>
      </c>
      <c r="C231" s="1" t="str">
        <f t="shared" si="21"/>
        <v>Investment Income - Linear Adjustments</v>
      </c>
      <c r="D231" s="9" t="s">
        <v>327</v>
      </c>
      <c r="E231" s="1" t="s">
        <v>51</v>
      </c>
      <c r="F231" s="1" t="s">
        <v>328</v>
      </c>
      <c r="G231" s="1" t="s">
        <v>328</v>
      </c>
      <c r="H231" s="1" t="s">
        <v>328</v>
      </c>
      <c r="I231" s="1" t="s">
        <v>328</v>
      </c>
      <c r="J231" s="1" t="s">
        <v>329</v>
      </c>
      <c r="K231" s="1" t="s">
        <v>329</v>
      </c>
      <c r="L231" s="1" t="s">
        <v>44</v>
      </c>
      <c r="M231" s="1">
        <f t="shared" si="19"/>
        <v>53</v>
      </c>
    </row>
    <row r="232" spans="1:13" x14ac:dyDescent="0.2">
      <c r="A232" s="1" t="s">
        <v>12</v>
      </c>
      <c r="B232" s="1" t="str">
        <f t="shared" si="20"/>
        <v>Investment Income - Linear Adjustments</v>
      </c>
      <c r="C232" s="1" t="str">
        <f t="shared" si="21"/>
        <v>Investment Income - Linear Adjustments</v>
      </c>
      <c r="D232" s="10" t="s">
        <v>330</v>
      </c>
      <c r="E232" s="11" t="s">
        <v>51</v>
      </c>
      <c r="F232" s="1" t="s">
        <v>328</v>
      </c>
      <c r="G232" s="1" t="s">
        <v>328</v>
      </c>
      <c r="H232" s="1" t="s">
        <v>328</v>
      </c>
      <c r="I232" s="1" t="s">
        <v>328</v>
      </c>
      <c r="J232" s="1" t="s">
        <v>329</v>
      </c>
      <c r="K232" s="1" t="s">
        <v>329</v>
      </c>
      <c r="L232" s="1" t="s">
        <v>44</v>
      </c>
      <c r="M232" s="1">
        <f t="shared" si="19"/>
        <v>53</v>
      </c>
    </row>
    <row r="233" spans="1:13" x14ac:dyDescent="0.2">
      <c r="A233" s="1" t="s">
        <v>12</v>
      </c>
      <c r="B233" s="1" t="str">
        <f t="shared" si="20"/>
        <v>Investment Income - Linear Adjustments</v>
      </c>
      <c r="C233" s="1" t="str">
        <f t="shared" si="21"/>
        <v>Investment Income - Linear Adjustments</v>
      </c>
      <c r="D233" s="12" t="s">
        <v>331</v>
      </c>
      <c r="E233" s="9" t="s">
        <v>54</v>
      </c>
      <c r="F233" s="1" t="s">
        <v>328</v>
      </c>
      <c r="G233" s="1" t="s">
        <v>328</v>
      </c>
      <c r="H233" s="1" t="s">
        <v>328</v>
      </c>
      <c r="I233" s="1" t="s">
        <v>328</v>
      </c>
      <c r="J233" s="1" t="s">
        <v>329</v>
      </c>
      <c r="K233" s="1" t="s">
        <v>329</v>
      </c>
      <c r="L233" s="1" t="s">
        <v>44</v>
      </c>
      <c r="M233" s="1">
        <f t="shared" si="19"/>
        <v>53</v>
      </c>
    </row>
    <row r="234" spans="1:13" x14ac:dyDescent="0.2">
      <c r="A234" s="1" t="s">
        <v>12</v>
      </c>
      <c r="B234" s="1" t="str">
        <f t="shared" si="20"/>
        <v>Investment Income - Linear Adjustments</v>
      </c>
      <c r="C234" s="1" t="str">
        <f t="shared" si="21"/>
        <v>Investment Income - Linear Adjustments</v>
      </c>
      <c r="D234" s="12" t="s">
        <v>332</v>
      </c>
      <c r="E234" s="9" t="s">
        <v>57</v>
      </c>
      <c r="F234" s="1" t="s">
        <v>328</v>
      </c>
      <c r="G234" s="1" t="s">
        <v>328</v>
      </c>
      <c r="H234" s="1" t="s">
        <v>328</v>
      </c>
      <c r="I234" s="1" t="s">
        <v>328</v>
      </c>
      <c r="J234" s="1" t="s">
        <v>329</v>
      </c>
      <c r="K234" s="1" t="s">
        <v>329</v>
      </c>
      <c r="L234" s="1" t="s">
        <v>44</v>
      </c>
      <c r="M234" s="1">
        <f t="shared" si="19"/>
        <v>53</v>
      </c>
    </row>
    <row r="235" spans="1:13" x14ac:dyDescent="0.2">
      <c r="A235" s="1" t="s">
        <v>12</v>
      </c>
      <c r="B235" s="1" t="str">
        <f t="shared" si="20"/>
        <v>Investment Income - Linear Adjustments</v>
      </c>
      <c r="C235" s="1" t="str">
        <f t="shared" si="21"/>
        <v>Investment Income - Linear Adjustments</v>
      </c>
      <c r="D235" s="12" t="s">
        <v>333</v>
      </c>
      <c r="E235" s="9" t="s">
        <v>57</v>
      </c>
      <c r="F235" s="1" t="s">
        <v>328</v>
      </c>
      <c r="G235" s="1" t="s">
        <v>328</v>
      </c>
      <c r="H235" s="1" t="s">
        <v>328</v>
      </c>
      <c r="I235" s="1" t="s">
        <v>328</v>
      </c>
      <c r="J235" s="1" t="s">
        <v>329</v>
      </c>
      <c r="K235" s="1" t="s">
        <v>329</v>
      </c>
      <c r="L235" s="1" t="s">
        <v>44</v>
      </c>
      <c r="M235" s="1">
        <f t="shared" si="19"/>
        <v>53</v>
      </c>
    </row>
    <row r="236" spans="1:13" x14ac:dyDescent="0.2">
      <c r="A236" s="1" t="s">
        <v>12</v>
      </c>
      <c r="B236" s="1" t="str">
        <f t="shared" si="20"/>
        <v>Investment Income - Linear Adjustments</v>
      </c>
      <c r="C236" s="1" t="str">
        <f t="shared" si="21"/>
        <v>Investment Income - Linear Adjustments</v>
      </c>
      <c r="D236" s="12" t="s">
        <v>334</v>
      </c>
      <c r="E236" s="9" t="s">
        <v>57</v>
      </c>
      <c r="F236" s="1" t="s">
        <v>328</v>
      </c>
      <c r="G236" s="1" t="s">
        <v>328</v>
      </c>
      <c r="H236" s="1" t="s">
        <v>328</v>
      </c>
      <c r="I236" s="1" t="s">
        <v>328</v>
      </c>
      <c r="J236" s="1" t="s">
        <v>329</v>
      </c>
      <c r="K236" s="1" t="s">
        <v>329</v>
      </c>
      <c r="L236" s="1" t="s">
        <v>44</v>
      </c>
      <c r="M236" s="1">
        <f t="shared" si="19"/>
        <v>53</v>
      </c>
    </row>
    <row r="237" spans="1:13" x14ac:dyDescent="0.2">
      <c r="A237" s="1" t="s">
        <v>12</v>
      </c>
      <c r="B237" s="1" t="str">
        <f t="shared" si="20"/>
        <v>Investment Income - Linear Adjustments</v>
      </c>
      <c r="C237" s="1" t="str">
        <f t="shared" si="21"/>
        <v>Investment Income - Linear Adjustments</v>
      </c>
      <c r="D237" s="12" t="s">
        <v>335</v>
      </c>
      <c r="E237" s="9" t="s">
        <v>20</v>
      </c>
      <c r="F237" s="1" t="s">
        <v>328</v>
      </c>
      <c r="G237" s="1" t="s">
        <v>328</v>
      </c>
      <c r="H237" s="1" t="s">
        <v>328</v>
      </c>
      <c r="I237" s="1" t="s">
        <v>328</v>
      </c>
      <c r="J237" s="1" t="s">
        <v>329</v>
      </c>
      <c r="K237" s="1" t="s">
        <v>329</v>
      </c>
      <c r="L237" s="1" t="s">
        <v>44</v>
      </c>
      <c r="M237" s="1">
        <f t="shared" si="19"/>
        <v>53</v>
      </c>
    </row>
    <row r="238" spans="1:13" x14ac:dyDescent="0.2">
      <c r="A238" s="1" t="s">
        <v>12</v>
      </c>
      <c r="B238" s="1" t="str">
        <f t="shared" si="20"/>
        <v>Investment Income - Linear Adjustments</v>
      </c>
      <c r="C238" s="1" t="str">
        <f t="shared" si="21"/>
        <v>Investment Income - Linear Adjustments</v>
      </c>
      <c r="D238" s="12" t="s">
        <v>336</v>
      </c>
      <c r="E238" s="9" t="s">
        <v>20</v>
      </c>
      <c r="F238" s="1" t="s">
        <v>328</v>
      </c>
      <c r="G238" s="1" t="s">
        <v>328</v>
      </c>
      <c r="H238" s="1" t="s">
        <v>328</v>
      </c>
      <c r="I238" s="1" t="s">
        <v>328</v>
      </c>
      <c r="J238" s="1" t="s">
        <v>329</v>
      </c>
      <c r="K238" s="1" t="s">
        <v>329</v>
      </c>
      <c r="L238" s="1" t="s">
        <v>44</v>
      </c>
      <c r="M238" s="1">
        <f t="shared" si="19"/>
        <v>53</v>
      </c>
    </row>
  </sheetData>
  <autoFilter ref="A1:M241" xr:uid="{00000000-0009-0000-0000-000000000000}"/>
  <conditionalFormatting sqref="A36 D36 F36:K36">
    <cfRule type="expression" dxfId="151" priority="209">
      <formula>MOD($O2,2)=0</formula>
    </cfRule>
  </conditionalFormatting>
  <conditionalFormatting sqref="A106 J106:K106">
    <cfRule type="expression" dxfId="150" priority="30">
      <formula>MOD($O2,2)=0</formula>
    </cfRule>
  </conditionalFormatting>
  <conditionalFormatting sqref="A204 D204 F204:K204">
    <cfRule type="expression" dxfId="149" priority="3">
      <formula>MOD($O2,2)=0</formula>
    </cfRule>
  </conditionalFormatting>
  <conditionalFormatting sqref="A205 D205 J205:K205">
    <cfRule type="expression" dxfId="148" priority="4">
      <formula>MOD($O2,2)=0</formula>
    </cfRule>
  </conditionalFormatting>
  <conditionalFormatting sqref="A148:C148 A149:D10007 A2:D147 J2:K10007 M2:M10007">
    <cfRule type="expression" dxfId="147" priority="2">
      <formula>MOD($O2,2)=0</formula>
    </cfRule>
  </conditionalFormatting>
  <conditionalFormatting sqref="A147:D147 F147:K147 M147">
    <cfRule type="expression" dxfId="146" priority="6724">
      <formula>MOD($O2,2)=0</formula>
    </cfRule>
  </conditionalFormatting>
  <conditionalFormatting sqref="A148:D148 F148:K148 M148">
    <cfRule type="expression" dxfId="145" priority="6720">
      <formula>MOD($O2,2)=0</formula>
    </cfRule>
  </conditionalFormatting>
  <conditionalFormatting sqref="B7">
    <cfRule type="expression" dxfId="144" priority="6723">
      <formula>MOD($O2,2)=0</formula>
    </cfRule>
  </conditionalFormatting>
  <conditionalFormatting sqref="B2:C2">
    <cfRule type="expression" dxfId="143" priority="198">
      <formula>MOD($O2,2)=0</formula>
    </cfRule>
  </conditionalFormatting>
  <conditionalFormatting sqref="D15">
    <cfRule type="expression" dxfId="142" priority="11">
      <formula>MOD($O2,2)=0</formula>
    </cfRule>
  </conditionalFormatting>
  <conditionalFormatting sqref="D25">
    <cfRule type="expression" dxfId="141" priority="8">
      <formula>MOD($O2,2)=0</formula>
    </cfRule>
  </conditionalFormatting>
  <conditionalFormatting sqref="D88">
    <cfRule type="expression" dxfId="140" priority="12">
      <formula>MOD($O2,2)=0</formula>
    </cfRule>
  </conditionalFormatting>
  <conditionalFormatting sqref="D101">
    <cfRule type="expression" dxfId="139" priority="6">
      <formula>MOD($O2,2)=0</formula>
    </cfRule>
  </conditionalFormatting>
  <conditionalFormatting sqref="D149">
    <cfRule type="expression" dxfId="138" priority="7">
      <formula>MOD($O2,2)=0</formula>
    </cfRule>
  </conditionalFormatting>
  <conditionalFormatting sqref="D231">
    <cfRule type="expression" dxfId="137" priority="9">
      <formula>MOD($O2,2)=0</formula>
    </cfRule>
  </conditionalFormatting>
  <conditionalFormatting sqref="D232">
    <cfRule type="expression" dxfId="136" priority="10">
      <formula>MOD($O2,2)=0</formula>
    </cfRule>
  </conditionalFormatting>
  <conditionalFormatting sqref="D28:I28">
    <cfRule type="expression" dxfId="135" priority="5">
      <formula>MOD($O2,2)=0</formula>
    </cfRule>
  </conditionalFormatting>
  <conditionalFormatting sqref="E24:F24">
    <cfRule type="expression" dxfId="134" priority="330">
      <formula>MOD($O2,2)=0</formula>
    </cfRule>
  </conditionalFormatting>
  <conditionalFormatting sqref="F2">
    <cfRule type="expression" dxfId="133" priority="230">
      <formula>MOD($O2,2)=0</formula>
    </cfRule>
  </conditionalFormatting>
  <conditionalFormatting sqref="F5">
    <cfRule type="expression" dxfId="132" priority="477">
      <formula>MOD($O2,2)=0</formula>
    </cfRule>
  </conditionalFormatting>
  <conditionalFormatting sqref="F9">
    <cfRule type="expression" dxfId="131" priority="327">
      <formula>MOD($O2,2)=0</formula>
    </cfRule>
  </conditionalFormatting>
  <conditionalFormatting sqref="F13">
    <cfRule type="expression" dxfId="130" priority="328">
      <formula>MOD($O2,2)=0</formula>
    </cfRule>
  </conditionalFormatting>
  <conditionalFormatting sqref="F14">
    <cfRule type="expression" dxfId="129" priority="309">
      <formula>MOD($O2,2)=0</formula>
    </cfRule>
  </conditionalFormatting>
  <conditionalFormatting sqref="F15">
    <cfRule type="expression" dxfId="128" priority="329">
      <formula>MOD($O2,2)=0</formula>
    </cfRule>
  </conditionalFormatting>
  <conditionalFormatting sqref="F16">
    <cfRule type="expression" dxfId="127" priority="308">
      <formula>MOD($O2,2)=0</formula>
    </cfRule>
  </conditionalFormatting>
  <conditionalFormatting sqref="F20 I56:I59 N56:N59">
    <cfRule type="expression" dxfId="126" priority="307">
      <formula>MOD($O2,2)=0</formula>
    </cfRule>
  </conditionalFormatting>
  <conditionalFormatting sqref="F21 G45:G48 I45:I48 I50:I55 N45:N48 N50:N55 G37:G43 I37:I43 N37:N43">
    <cfRule type="expression" dxfId="125" priority="306">
      <formula>MOD($O2,2)=0</formula>
    </cfRule>
  </conditionalFormatting>
  <conditionalFormatting sqref="F22">
    <cfRule type="expression" dxfId="124" priority="305">
      <formula>MOD($O2,2)=0</formula>
    </cfRule>
  </conditionalFormatting>
  <conditionalFormatting sqref="F26">
    <cfRule type="expression" dxfId="123" priority="3501">
      <formula>MOD($O2,2)=0</formula>
    </cfRule>
  </conditionalFormatting>
  <conditionalFormatting sqref="F27">
    <cfRule type="expression" dxfId="122" priority="317">
      <formula>MOD($O2,2)=0</formula>
    </cfRule>
  </conditionalFormatting>
  <conditionalFormatting sqref="F45">
    <cfRule type="expression" dxfId="121" priority="268">
      <formula>MOD($O2,2)=0</formula>
    </cfRule>
  </conditionalFormatting>
  <conditionalFormatting sqref="F47">
    <cfRule type="expression" dxfId="120" priority="487">
      <formula>MOD($O2,2)=0</formula>
    </cfRule>
  </conditionalFormatting>
  <conditionalFormatting sqref="F48">
    <cfRule type="expression" dxfId="119" priority="6718">
      <formula>MOD($O2,2)=0</formula>
    </cfRule>
  </conditionalFormatting>
  <conditionalFormatting sqref="F52">
    <cfRule type="expression" dxfId="118" priority="3519">
      <formula>MOD($O2,2)=0</formula>
    </cfRule>
  </conditionalFormatting>
  <conditionalFormatting sqref="F56">
    <cfRule type="expression" dxfId="117" priority="3528">
      <formula>MOD($O2,2)=0</formula>
    </cfRule>
  </conditionalFormatting>
  <conditionalFormatting sqref="F59">
    <cfRule type="expression" dxfId="116" priority="3537">
      <formula>MOD($O2,2)=0</formula>
    </cfRule>
  </conditionalFormatting>
  <conditionalFormatting sqref="F63">
    <cfRule type="expression" dxfId="115" priority="3546">
      <formula>MOD($O2,2)=0</formula>
    </cfRule>
  </conditionalFormatting>
  <conditionalFormatting sqref="F65">
    <cfRule type="expression" dxfId="114" priority="3555">
      <formula>MOD($O2,2)=0</formula>
    </cfRule>
  </conditionalFormatting>
  <conditionalFormatting sqref="F67">
    <cfRule type="expression" dxfId="113" priority="245">
      <formula>MOD($O2,2)=0</formula>
    </cfRule>
  </conditionalFormatting>
  <conditionalFormatting sqref="F68">
    <cfRule type="expression" dxfId="112" priority="3564">
      <formula>MOD($O2,2)=0</formula>
    </cfRule>
  </conditionalFormatting>
  <conditionalFormatting sqref="F72">
    <cfRule type="expression" dxfId="111" priority="239">
      <formula>MOD($O2,2)=0</formula>
    </cfRule>
  </conditionalFormatting>
  <conditionalFormatting sqref="F73">
    <cfRule type="expression" dxfId="110" priority="3573">
      <formula>MOD($O2,2)=0</formula>
    </cfRule>
  </conditionalFormatting>
  <conditionalFormatting sqref="F80 G105:G114 I105:I114">
    <cfRule type="expression" dxfId="109" priority="266">
      <formula>MOD($O2,2)=0</formula>
    </cfRule>
  </conditionalFormatting>
  <conditionalFormatting sqref="F88">
    <cfRule type="expression" dxfId="108" priority="332">
      <formula>MOD($O2,2)=0</formula>
    </cfRule>
  </conditionalFormatting>
  <conditionalFormatting sqref="F95">
    <cfRule type="expression" dxfId="107" priority="333">
      <formula>MOD($O2,2)=0</formula>
    </cfRule>
  </conditionalFormatting>
  <conditionalFormatting sqref="F115">
    <cfRule type="expression" dxfId="106" priority="299">
      <formula>MOD($O2,2)=0</formula>
    </cfRule>
  </conditionalFormatting>
  <conditionalFormatting sqref="F130">
    <cfRule type="expression" dxfId="105" priority="298">
      <formula>MOD($O2,2)=0</formula>
    </cfRule>
  </conditionalFormatting>
  <conditionalFormatting sqref="F187">
    <cfRule type="expression" dxfId="104" priority="274">
      <formula>MOD($O2,2)=0</formula>
    </cfRule>
  </conditionalFormatting>
  <conditionalFormatting sqref="F196">
    <cfRule type="expression" dxfId="103" priority="260">
      <formula>MOD($O2,2)=0</formula>
    </cfRule>
  </conditionalFormatting>
  <conditionalFormatting sqref="F199">
    <cfRule type="expression" dxfId="102" priority="296">
      <formula>MOD($O2,2)=0</formula>
    </cfRule>
  </conditionalFormatting>
  <conditionalFormatting sqref="F219">
    <cfRule type="expression" dxfId="101" priority="295">
      <formula>MOD($O2,2)=0</formula>
    </cfRule>
  </conditionalFormatting>
  <conditionalFormatting sqref="F230">
    <cfRule type="expression" dxfId="100" priority="342">
      <formula>MOD($O2,2)=0</formula>
    </cfRule>
  </conditionalFormatting>
  <conditionalFormatting sqref="F2:G25">
    <cfRule type="expression" dxfId="99" priority="231">
      <formula>MOD($O2,2)=0</formula>
    </cfRule>
  </conditionalFormatting>
  <conditionalFormatting sqref="F30:G30">
    <cfRule type="expression" dxfId="98" priority="301">
      <formula>MOD($O2,2)=0</formula>
    </cfRule>
  </conditionalFormatting>
  <conditionalFormatting sqref="F205:G205">
    <cfRule type="expression" dxfId="97" priority="353">
      <formula>MOD($O2,2)=0</formula>
    </cfRule>
  </conditionalFormatting>
  <conditionalFormatting sqref="F12:H12">
    <cfRule type="expression" dxfId="96" priority="54">
      <formula>MOD($O2,2)=0</formula>
    </cfRule>
  </conditionalFormatting>
  <conditionalFormatting sqref="F38:H38">
    <cfRule type="expression" dxfId="95" priority="95">
      <formula>MOD($O2,2)=0</formula>
    </cfRule>
  </conditionalFormatting>
  <conditionalFormatting sqref="F75:H75">
    <cfRule type="expression" dxfId="94" priority="64">
      <formula>MOD($O2,2)=0</formula>
    </cfRule>
  </conditionalFormatting>
  <conditionalFormatting sqref="F153:H153">
    <cfRule type="expression" dxfId="93" priority="67">
      <formula>MOD($O2,2)=0</formula>
    </cfRule>
  </conditionalFormatting>
  <conditionalFormatting sqref="F226:H226">
    <cfRule type="expression" dxfId="92" priority="70">
      <formula>MOD($O2,2)=0</formula>
    </cfRule>
  </conditionalFormatting>
  <conditionalFormatting sqref="F23:I23">
    <cfRule type="expression" dxfId="91" priority="41">
      <formula>MOD($O2,2)=0</formula>
    </cfRule>
  </conditionalFormatting>
  <conditionalFormatting sqref="F44:I44">
    <cfRule type="expression" dxfId="90" priority="111">
      <formula>MOD($O2,2)=0</formula>
    </cfRule>
  </conditionalFormatting>
  <conditionalFormatting sqref="F49:I49">
    <cfRule type="expression" dxfId="89" priority="120">
      <formula>MOD($O2,2)=0</formula>
    </cfRule>
  </conditionalFormatting>
  <conditionalFormatting sqref="F118:I118">
    <cfRule type="expression" dxfId="88" priority="72">
      <formula>MOD($O2,2)=0</formula>
    </cfRule>
  </conditionalFormatting>
  <conditionalFormatting sqref="F138:I138">
    <cfRule type="expression" dxfId="87" priority="73">
      <formula>MOD($O2,2)=0</formula>
    </cfRule>
  </conditionalFormatting>
  <conditionalFormatting sqref="F149:I149">
    <cfRule type="expression" dxfId="86" priority="75">
      <formula>MOD($O2,2)=0</formula>
    </cfRule>
  </conditionalFormatting>
  <conditionalFormatting sqref="F159:I159">
    <cfRule type="expression" dxfId="85" priority="76">
      <formula>MOD($O2,2)=0</formula>
    </cfRule>
  </conditionalFormatting>
  <conditionalFormatting sqref="F220:I220">
    <cfRule type="expression" dxfId="84" priority="82">
      <formula>MOD($O2,2)=0</formula>
    </cfRule>
  </conditionalFormatting>
  <conditionalFormatting sqref="F231:I231">
    <cfRule type="expression" dxfId="83" priority="83">
      <formula>MOD($O2,2)=0</formula>
    </cfRule>
  </conditionalFormatting>
  <conditionalFormatting sqref="G2:G19">
    <cfRule type="expression" dxfId="82" priority="229">
      <formula>MOD($O2,2)=0</formula>
    </cfRule>
  </conditionalFormatting>
  <conditionalFormatting sqref="G20:G35 G75:G79 G115:G117 G130:G137 G153:G158 G199:G203 G226:G229">
    <cfRule type="expression" dxfId="81" priority="315">
      <formula>MOD($O2,2)=0</formula>
    </cfRule>
  </conditionalFormatting>
  <conditionalFormatting sqref="G26 G44 F45:G51 G52:G54 F55:G55 G56 F57:G58 G59:G61 F62:G62 G63 F64:G64 G65 F66:G67 G68 F69:G72 G73:G74 F75:G238 F27:G43">
    <cfRule type="expression" dxfId="80" priority="318">
      <formula>MOD($O26,2)=0</formula>
    </cfRule>
  </conditionalFormatting>
  <conditionalFormatting sqref="G46">
    <cfRule type="expression" dxfId="79" priority="232">
      <formula>MOD($O2,2)=0</formula>
    </cfRule>
  </conditionalFormatting>
  <conditionalFormatting sqref="G80:G103">
    <cfRule type="expression" dxfId="78" priority="293">
      <formula>MOD($O2,2)=0</formula>
    </cfRule>
  </conditionalFormatting>
  <conditionalFormatting sqref="G104">
    <cfRule type="expression" dxfId="77" priority="244">
      <formula>MOD($O2,2)=0</formula>
    </cfRule>
  </conditionalFormatting>
  <conditionalFormatting sqref="G117">
    <cfRule type="expression" dxfId="76" priority="358">
      <formula>MOD($O2,2)=0</formula>
    </cfRule>
  </conditionalFormatting>
  <conditionalFormatting sqref="G143">
    <cfRule type="expression" dxfId="75" priority="290">
      <formula>MOD($O2,2)=0</formula>
    </cfRule>
  </conditionalFormatting>
  <conditionalFormatting sqref="G187:G195">
    <cfRule type="expression" dxfId="74" priority="286">
      <formula>MOD($O2,2)=0</formula>
    </cfRule>
  </conditionalFormatting>
  <conditionalFormatting sqref="G196:G198">
    <cfRule type="expression" dxfId="73" priority="285">
      <formula>MOD($O2,2)=0</formula>
    </cfRule>
  </conditionalFormatting>
  <conditionalFormatting sqref="G238">
    <cfRule type="expression" dxfId="72" priority="280">
      <formula>MOD($O2,2)=0</formula>
    </cfRule>
  </conditionalFormatting>
  <conditionalFormatting sqref="G25:I25">
    <cfRule type="expression" dxfId="71" priority="35">
      <formula>MOD($O2,2)=0</formula>
    </cfRule>
  </conditionalFormatting>
  <conditionalFormatting sqref="G29:I29">
    <cfRule type="expression" dxfId="70" priority="39">
      <formula>MOD($O2,2)=0</formula>
    </cfRule>
  </conditionalFormatting>
  <conditionalFormatting sqref="G60:I60">
    <cfRule type="expression" dxfId="69" priority="124">
      <formula>MOD($O2,2)=0</formula>
    </cfRule>
  </conditionalFormatting>
  <conditionalFormatting sqref="G61:I61">
    <cfRule type="expression" dxfId="68" priority="142">
      <formula>MOD($O2,2)=0</formula>
    </cfRule>
  </conditionalFormatting>
  <conditionalFormatting sqref="H2">
    <cfRule type="expression" dxfId="67" priority="200">
      <formula>MOD($O2,2)=0</formula>
    </cfRule>
  </conditionalFormatting>
  <conditionalFormatting sqref="H15">
    <cfRule type="expression" dxfId="66" priority="32">
      <formula>MOD($O2,2)=0</formula>
    </cfRule>
  </conditionalFormatting>
  <conditionalFormatting sqref="H16">
    <cfRule type="expression" dxfId="65" priority="56">
      <formula>MOD($O2,2)=0</formula>
    </cfRule>
  </conditionalFormatting>
  <conditionalFormatting sqref="H20">
    <cfRule type="expression" dxfId="64" priority="57">
      <formula>MOD($O2,2)=0</formula>
    </cfRule>
  </conditionalFormatting>
  <conditionalFormatting sqref="H21">
    <cfRule type="expression" dxfId="63" priority="58">
      <formula>MOD($O2,2)=0</formula>
    </cfRule>
  </conditionalFormatting>
  <conditionalFormatting sqref="H22">
    <cfRule type="expression" dxfId="62" priority="34">
      <formula>MOD($O2,2)=0</formula>
    </cfRule>
  </conditionalFormatting>
  <conditionalFormatting sqref="H24">
    <cfRule type="expression" dxfId="61" priority="51">
      <formula>MOD($O2,2)=0</formula>
    </cfRule>
  </conditionalFormatting>
  <conditionalFormatting sqref="H26">
    <cfRule type="expression" dxfId="60" priority="36">
      <formula>MOD($O2,2)=0</formula>
    </cfRule>
  </conditionalFormatting>
  <conditionalFormatting sqref="H27">
    <cfRule type="expression" dxfId="59" priority="33">
      <formula>MOD($O2,2)=0</formula>
    </cfRule>
  </conditionalFormatting>
  <conditionalFormatting sqref="H45">
    <cfRule type="expression" dxfId="58" priority="96">
      <formula>MOD($O2,2)=0</formula>
    </cfRule>
  </conditionalFormatting>
  <conditionalFormatting sqref="H53">
    <cfRule type="expression" dxfId="57" priority="137">
      <formula>MOD($O2,2)=0</formula>
    </cfRule>
  </conditionalFormatting>
  <conditionalFormatting sqref="H54">
    <cfRule type="expression" dxfId="56" priority="152">
      <formula>MOD($O2,2)=0</formula>
    </cfRule>
  </conditionalFormatting>
  <conditionalFormatting sqref="H67">
    <cfRule type="expression" dxfId="55" priority="132">
      <formula>MOD($O2,2)=0</formula>
    </cfRule>
  </conditionalFormatting>
  <conditionalFormatting sqref="H72">
    <cfRule type="expression" dxfId="54" priority="144">
      <formula>MOD($O2,2)=0</formula>
    </cfRule>
  </conditionalFormatting>
  <conditionalFormatting sqref="H80">
    <cfRule type="expression" dxfId="53" priority="85">
      <formula>MOD($O2,2)=0</formula>
    </cfRule>
  </conditionalFormatting>
  <conditionalFormatting sqref="H88">
    <cfRule type="expression" dxfId="52" priority="188">
      <formula>MOD($O2,2)=0</formula>
    </cfRule>
  </conditionalFormatting>
  <conditionalFormatting sqref="H95">
    <cfRule type="expression" dxfId="51" priority="189">
      <formula>MOD($O2,2)=0</formula>
    </cfRule>
  </conditionalFormatting>
  <conditionalFormatting sqref="H106">
    <cfRule type="expression" dxfId="50" priority="193">
      <formula>MOD($O2,2)=0</formula>
    </cfRule>
  </conditionalFormatting>
  <conditionalFormatting sqref="H111">
    <cfRule type="expression" dxfId="49" priority="191">
      <formula>MOD($O2,2)=0</formula>
    </cfRule>
  </conditionalFormatting>
  <conditionalFormatting sqref="H115">
    <cfRule type="expression" dxfId="48" priority="65">
      <formula>MOD($O2,2)=0</formula>
    </cfRule>
  </conditionalFormatting>
  <conditionalFormatting sqref="H130">
    <cfRule type="expression" dxfId="47" priority="66">
      <formula>MOD($O2,2)=0</formula>
    </cfRule>
  </conditionalFormatting>
  <conditionalFormatting sqref="H187">
    <cfRule type="expression" dxfId="46" priority="86">
      <formula>MOD($O2,2)=0</formula>
    </cfRule>
  </conditionalFormatting>
  <conditionalFormatting sqref="H196">
    <cfRule type="expression" dxfId="45" priority="103">
      <formula>MOD($O2,2)=0</formula>
    </cfRule>
  </conditionalFormatting>
  <conditionalFormatting sqref="H199">
    <cfRule type="expression" dxfId="44" priority="68">
      <formula>MOD($O2,2)=0</formula>
    </cfRule>
  </conditionalFormatting>
  <conditionalFormatting sqref="H219">
    <cfRule type="expression" dxfId="43" priority="69">
      <formula>MOD($O2,2)=0</formula>
    </cfRule>
  </conditionalFormatting>
  <conditionalFormatting sqref="H2:I13 H14 H15:I35 H36 I185 H186:I238 H37:I184">
    <cfRule type="expression" dxfId="42" priority="31">
      <formula>MOD($O2,2)=0</formula>
    </cfRule>
  </conditionalFormatting>
  <conditionalFormatting sqref="H14:I14">
    <cfRule type="expression" dxfId="41" priority="55">
      <formula>MOD($O2,2)=0</formula>
    </cfRule>
  </conditionalFormatting>
  <conditionalFormatting sqref="H56:I56">
    <cfRule type="expression" dxfId="40" priority="138">
      <formula>MOD($O2,2)=0</formula>
    </cfRule>
  </conditionalFormatting>
  <conditionalFormatting sqref="H59:I59">
    <cfRule type="expression" dxfId="39" priority="140">
      <formula>MOD($O2,2)=0</formula>
    </cfRule>
  </conditionalFormatting>
  <conditionalFormatting sqref="H63:I63">
    <cfRule type="expression" dxfId="38" priority="149">
      <formula>MOD($O2,2)=0</formula>
    </cfRule>
  </conditionalFormatting>
  <conditionalFormatting sqref="H65:I65">
    <cfRule type="expression" dxfId="37" priority="128">
      <formula>MOD($O2,2)=0</formula>
    </cfRule>
  </conditionalFormatting>
  <conditionalFormatting sqref="I15:I19">
    <cfRule type="expression" dxfId="36" priority="61">
      <formula>MOD($O15,2)=0</formula>
    </cfRule>
  </conditionalFormatting>
  <conditionalFormatting sqref="I20:I35 I61:I64 I66 I69:I71 I75:I79 I115:I117 I130:I137 I153:I158 I199:I203 I226:I229">
    <cfRule type="expression" dxfId="35" priority="40">
      <formula>MOD($O2,2)=0</formula>
    </cfRule>
  </conditionalFormatting>
  <conditionalFormatting sqref="I30">
    <cfRule type="expression" dxfId="34" priority="62">
      <formula>MOD($O2,2)=0</formula>
    </cfRule>
  </conditionalFormatting>
  <conditionalFormatting sqref="I46">
    <cfRule type="expression" dxfId="33" priority="195">
      <formula>MOD($O2,2)=0</formula>
    </cfRule>
  </conditionalFormatting>
  <conditionalFormatting sqref="I52">
    <cfRule type="expression" dxfId="32" priority="170">
      <formula>MOD($O2,2)=0</formula>
    </cfRule>
  </conditionalFormatting>
  <conditionalFormatting sqref="I55">
    <cfRule type="expression" dxfId="31" priority="158">
      <formula>MOD($O2,2)=0</formula>
    </cfRule>
  </conditionalFormatting>
  <conditionalFormatting sqref="I57">
    <cfRule type="expression" dxfId="30" priority="160">
      <formula>MOD($O2,2)=0</formula>
    </cfRule>
  </conditionalFormatting>
  <conditionalFormatting sqref="I62">
    <cfRule type="expression" dxfId="29" priority="162">
      <formula>MOD($O2,2)=0</formula>
    </cfRule>
  </conditionalFormatting>
  <conditionalFormatting sqref="I64">
    <cfRule type="expression" dxfId="28" priority="164">
      <formula>MOD($O2,2)=0</formula>
    </cfRule>
  </conditionalFormatting>
  <conditionalFormatting sqref="I66">
    <cfRule type="expression" dxfId="27" priority="166">
      <formula>MOD($O2,2)=0</formula>
    </cfRule>
  </conditionalFormatting>
  <conditionalFormatting sqref="I68">
    <cfRule type="expression" dxfId="26" priority="184">
      <formula>MOD($O2,2)=0</formula>
    </cfRule>
  </conditionalFormatting>
  <conditionalFormatting sqref="I69">
    <cfRule type="expression" dxfId="25" priority="168">
      <formula>MOD($O2,2)=0</formula>
    </cfRule>
  </conditionalFormatting>
  <conditionalFormatting sqref="I73">
    <cfRule type="expression" dxfId="24" priority="182">
      <formula>MOD($O2,2)=0</formula>
    </cfRule>
  </conditionalFormatting>
  <conditionalFormatting sqref="I80:I103">
    <cfRule type="expression" dxfId="23" priority="71">
      <formula>MOD($O2,2)=0</formula>
    </cfRule>
  </conditionalFormatting>
  <conditionalFormatting sqref="I104">
    <cfRule type="expression" dxfId="22" priority="136">
      <formula>MOD($O2,2)=0</formula>
    </cfRule>
  </conditionalFormatting>
  <conditionalFormatting sqref="I143">
    <cfRule type="expression" dxfId="21" priority="74">
      <formula>MOD($O2,2)=0</formula>
    </cfRule>
  </conditionalFormatting>
  <conditionalFormatting sqref="I187:I195">
    <cfRule type="expression" dxfId="20" priority="78">
      <formula>MOD($O2,2)=0</formula>
    </cfRule>
  </conditionalFormatting>
  <conditionalFormatting sqref="I196:I198">
    <cfRule type="expression" dxfId="19" priority="79">
      <formula>MOD($O2,2)=0</formula>
    </cfRule>
  </conditionalFormatting>
  <conditionalFormatting sqref="I238">
    <cfRule type="expression" dxfId="18" priority="84">
      <formula>MOD($O2,2)=0</formula>
    </cfRule>
  </conditionalFormatting>
  <conditionalFormatting sqref="J230:K230">
    <cfRule type="expression" dxfId="17" priority="28">
      <formula>MOD($O2,2)=0</formula>
    </cfRule>
  </conditionalFormatting>
  <conditionalFormatting sqref="K2">
    <cfRule type="expression" dxfId="16" priority="204">
      <formula>MOD($O2,2)=0</formula>
    </cfRule>
  </conditionalFormatting>
  <conditionalFormatting sqref="N20:N35 N61:N64 N66 N69:N71 N75:N79 N115:N117 N130:N137 N153:N158 N199:N203 N226:N229">
    <cfRule type="expression" dxfId="15" priority="19">
      <formula>MOD($O2,2)=0</formula>
    </cfRule>
  </conditionalFormatting>
  <conditionalFormatting sqref="N25">
    <cfRule type="expression" dxfId="14" priority="18">
      <formula>MOD($O2,2)=0</formula>
    </cfRule>
  </conditionalFormatting>
  <conditionalFormatting sqref="N30">
    <cfRule type="expression" dxfId="13" priority="20">
      <formula>MOD($O2,2)=0</formula>
    </cfRule>
  </conditionalFormatting>
  <conditionalFormatting sqref="N44">
    <cfRule type="expression" dxfId="12" priority="23">
      <formula>MOD($O2,2)=0</formula>
    </cfRule>
  </conditionalFormatting>
  <conditionalFormatting sqref="N46">
    <cfRule type="expression" dxfId="11" priority="17">
      <formula>MOD($O2,2)=0</formula>
    </cfRule>
  </conditionalFormatting>
  <conditionalFormatting sqref="N55">
    <cfRule type="expression" dxfId="10" priority="24">
      <formula>MOD($O2,2)=0</formula>
    </cfRule>
  </conditionalFormatting>
  <conditionalFormatting sqref="N59">
    <cfRule type="expression" dxfId="9" priority="26">
      <formula>MOD($O2,2)=0</formula>
    </cfRule>
  </conditionalFormatting>
  <conditionalFormatting sqref="N66">
    <cfRule type="expression" dxfId="8" priority="25">
      <formula>MOD($O2,2)=0</formula>
    </cfRule>
  </conditionalFormatting>
  <conditionalFormatting sqref="N73">
    <cfRule type="expression" dxfId="7" priority="27">
      <formula>MOD($O2,2)=0</formula>
    </cfRule>
  </conditionalFormatting>
  <conditionalFormatting sqref="N149">
    <cfRule type="expression" dxfId="6" priority="21">
      <formula>MOD($O2,2)=0</formula>
    </cfRule>
  </conditionalFormatting>
  <conditionalFormatting sqref="N164">
    <cfRule type="expression" dxfId="5" priority="13">
      <formula>MOD($O2,2)=0</formula>
    </cfRule>
  </conditionalFormatting>
  <conditionalFormatting sqref="N205">
    <cfRule type="expression" dxfId="4" priority="14">
      <formula>MOD($O2,2)=0</formula>
    </cfRule>
  </conditionalFormatting>
  <conditionalFormatting sqref="N208">
    <cfRule type="expression" dxfId="3" priority="15">
      <formula>MOD($O2,2)=0</formula>
    </cfRule>
  </conditionalFormatting>
  <conditionalFormatting sqref="N210">
    <cfRule type="expression" dxfId="2" priority="16">
      <formula>MOD($O2,2)=0</formula>
    </cfRule>
  </conditionalFormatting>
  <conditionalFormatting sqref="N231">
    <cfRule type="expression" dxfId="1" priority="22">
      <formula>MOD($O2,2)=0</formula>
    </cfRule>
  </conditionalFormatting>
  <conditionalFormatting sqref="F37:H37">
    <cfRule type="expression" dxfId="0" priority="1">
      <formula>MOD($O1,2)=0</formula>
    </cfRule>
  </conditionalFormatting>
  <printOptions headings="1"/>
  <pageMargins left="0.5" right="0.5" top="0.5" bottom="0.5" header="0" footer="0"/>
  <pageSetup paperSize="9" scale="40" fitToHeight="0"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Oksana Podoba</dc:creator>
  <cp:keywords/>
  <dc:description/>
  <cp:lastModifiedBy>David Hjelmar</cp:lastModifiedBy>
  <cp:revision>28</cp:revision>
  <dcterms:created xsi:type="dcterms:W3CDTF">2022-09-26T16:02:08Z</dcterms:created>
  <dcterms:modified xsi:type="dcterms:W3CDTF">2025-05-13T01:30:42Z</dcterms:modified>
  <cp:category/>
  <cp:contentStatus/>
</cp:coreProperties>
</file>