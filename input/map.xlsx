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persons/person.xml" ContentType="application/vnd.ms-excel.person+xml"/>
  <Override PartName="/xl/externalLinks/externalLink1.xml" ContentType="application/vnd.openxmlformats-officedocument.spreadsheetml.externalLink+xml"/>
  <Override PartName="/xl/connections.xml" ContentType="application/vnd.openxmlformats-officedocument.spreadsheetml.connection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4"/>
  </sheets>
  <externalReferences>
    <externalReference r:id="rId1"/>
  </externalReferences>
  <definedNames>
    <definedName name="_xlnm._FilterDatabase" localSheetId="0" hidden="1">Sheet1!$A$1:$K$238</definedName>
    <definedName name="Print_Titles" localSheetId="0">Sheet1!$1:$1</definedName>
    <definedName name="_xlcn.WorksheetConnection_budget_2024.xlsxTable21" hidden="1">'[1]budget 11-01-23'!$A$1:$M$198</definedName>
    <definedName name="_xlcn.WorksheetConnection_budget_2024.xlsxTable31" hidden="1">Table1</definedName>
    <definedName name="_xlnm._FilterDatabase" localSheetId="0" hidden="1">Sheet1!$A$1:$K$238</definedName>
  </definedNam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tc={7252F538-6D6E-97D8-146C-E9E4379178FC}</author>
  </authors>
  <commentList>
    <comment ref="D17" authorId="0" xr:uid="{7252F538-6D6E-97D8-146C-E9E4379178FC}">
      <text>
        <r>
          <rPr>
            <b/>
            <sz val="9"/>
            <rFont val="Tahoma"/>
          </rPr>
          <t xml:space="preserve">David Hjelmar:</t>
        </r>
        <r>
          <rPr>
            <sz val="9"/>
            <rFont val="Tahoma"/>
          </rPr>
          <t xml:space="preserve">
only used from Covenant Fund in 2022. not used at all in 2023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20502E-5DB4-478A-BC58-A3AF73520BE3}" keepAlive="1" name="ThisWorkbookDataModel" description="Data Model" type="5" background="1" minRefreshableVersion="5" refreshedVersion="8">
    <dbPr connection="Data Model Connection" command="Model" commandType="1"/>
    <olapPr rowDrillCount="1000" sendLocale="1"/>
  </connection>
  <connection id="2" xr16:uid="{FE2DD38A-3F91-47BB-8FD4-88ACDF0CE342}" name="WorksheetConnection_budget_2024.xlsx!Table2" type="102" minRefreshableVersion="5" refreshedVersion="8">
    <extLst>
      <ext xmlns:x15="http://schemas.microsoft.com/office/spreadsheetml/2010/11/main" uri="{DE250136-89BD-433C-8126-D09CA5730AF9}">
        <x15:connection id="Table2">
          <x15:rangePr sourceName="_xlcn.WorksheetConnection_budget_2024.xlsxTable21"/>
        </x15:connection>
      </ext>
    </extLst>
  </connection>
  <connection id="3" xr16:uid="{2202441F-1020-42E7-A9A4-13A4F9EC4EDA}" name="WorksheetConnection_budget_2024.xlsx!Table3" type="102" minRefreshableVersion="5" refreshedVersion="8">
    <extLst>
      <ext xmlns:x15="http://schemas.microsoft.com/office/spreadsheetml/2010/11/main" uri="{DE250136-89BD-433C-8126-D09CA5730AF9}">
        <x15:connection id="Table3">
          <x15:rangePr sourceName="_xlcn.WorksheetConnection_budget_2024.xlsxTable31"/>
        </x15:connection>
      </ext>
    </extLst>
  </connection>
</connections>
</file>

<file path=xl/sharedStrings.xml><?xml version="1.0" encoding="utf-8"?>
<sst xmlns="http://schemas.openxmlformats.org/spreadsheetml/2006/main" count="325" uniqueCount="325">
  <si>
    <t>InOrOut</t>
  </si>
  <si>
    <t>L1</t>
  </si>
  <si>
    <t>L2</t>
  </si>
  <si>
    <t>Account</t>
  </si>
  <si>
    <t>Purpose</t>
  </si>
  <si>
    <t>Committee_Detail</t>
  </si>
  <si>
    <t xml:space="preserve">Split Funding</t>
  </si>
  <si>
    <t xml:space="preserve">Split Funding Detail</t>
  </si>
  <si>
    <t xml:space="preserve">Old GreenSheet</t>
  </si>
  <si>
    <t xml:space="preserve">Old GreenSheetDetails</t>
  </si>
  <si>
    <t>In</t>
  </si>
  <si>
    <t xml:space="preserve">4000 Classis Assessment</t>
  </si>
  <si>
    <t>Operations</t>
  </si>
  <si>
    <t>Contributions</t>
  </si>
  <si>
    <t xml:space="preserve">01 Classis Assessments</t>
  </si>
  <si>
    <t xml:space="preserve">4001 Classis Assessments</t>
  </si>
  <si>
    <t xml:space="preserve">4010 Current Year Pledges</t>
  </si>
  <si>
    <t xml:space="preserve">Contributions - pledge</t>
  </si>
  <si>
    <t xml:space="preserve">02 Contributions</t>
  </si>
  <si>
    <t xml:space="preserve">4011 Prior Year Pledges</t>
  </si>
  <si>
    <t xml:space="preserve">4012 Non Pledge Contributions</t>
  </si>
  <si>
    <t xml:space="preserve">4013 Vespers Offering</t>
  </si>
  <si>
    <t xml:space="preserve">4014 Easter Offering</t>
  </si>
  <si>
    <t>Mission</t>
  </si>
  <si>
    <t xml:space="preserve">4015 Christmas Offering</t>
  </si>
  <si>
    <t xml:space="preserve">4016 Thanksgiving Offering</t>
  </si>
  <si>
    <t xml:space="preserve">4017 Special Offerings</t>
  </si>
  <si>
    <t xml:space="preserve">4021 Charitable Distributions</t>
  </si>
  <si>
    <t xml:space="preserve">4022 Wednesday Lunch</t>
  </si>
  <si>
    <t xml:space="preserve">4023 Online Giving</t>
  </si>
  <si>
    <t xml:space="preserve">4024 Senior High Mission Trip income</t>
  </si>
  <si>
    <t xml:space="preserve">4025 Concert Series</t>
  </si>
  <si>
    <t xml:space="preserve">4026 Audio/Visual Technology</t>
  </si>
  <si>
    <t xml:space="preserve">4031 Special Offerings (designated)</t>
  </si>
  <si>
    <t xml:space="preserve">4032 Designated Restricted Contributions</t>
  </si>
  <si>
    <t>Designated</t>
  </si>
  <si>
    <t xml:space="preserve">2215 Checking Account</t>
  </si>
  <si>
    <t>Checking</t>
  </si>
  <si>
    <t xml:space="preserve">03 Investment Income</t>
  </si>
  <si>
    <t xml:space="preserve">4041 Endowment Income</t>
  </si>
  <si>
    <t>Endowment</t>
  </si>
  <si>
    <t xml:space="preserve">4043 Schermerhorn Income</t>
  </si>
  <si>
    <t xml:space="preserve">Schermerhorn and Birch Funds</t>
  </si>
  <si>
    <t xml:space="preserve">4044 Birch Income</t>
  </si>
  <si>
    <t xml:space="preserve">4045 UP Mission Fund Income</t>
  </si>
  <si>
    <t xml:space="preserve">UP Mission Fund</t>
  </si>
  <si>
    <t xml:space="preserve">4046 UP Mission Fund Income</t>
  </si>
  <si>
    <t xml:space="preserve">4049 Tercentenary Income</t>
  </si>
  <si>
    <t xml:space="preserve">Education, Music, &amp; Arts</t>
  </si>
  <si>
    <t xml:space="preserve">Tercentenary Fund</t>
  </si>
  <si>
    <t xml:space="preserve">4061 McDonald (Covenant)</t>
  </si>
  <si>
    <t xml:space="preserve">Covenant Fund</t>
  </si>
  <si>
    <t xml:space="preserve">04 Covenant Income</t>
  </si>
  <si>
    <t xml:space="preserve">4062 Covenant Fund Income</t>
  </si>
  <si>
    <t xml:space="preserve">4063 Covenant Income for M&amp;B</t>
  </si>
  <si>
    <t xml:space="preserve">4052 Facility Use Income</t>
  </si>
  <si>
    <t xml:space="preserve">Other income</t>
  </si>
  <si>
    <t xml:space="preserve">05 Other Income</t>
  </si>
  <si>
    <t xml:space="preserve">4053 Misc Income</t>
  </si>
  <si>
    <t xml:space="preserve">4054 Rental Income</t>
  </si>
  <si>
    <t xml:space="preserve">4055 Holiday/Memorial Flowers income</t>
  </si>
  <si>
    <t xml:space="preserve">4056 Chancel Guild Income/Cook Trust</t>
  </si>
  <si>
    <t xml:space="preserve">4057 Scholarship from Education Fund income</t>
  </si>
  <si>
    <t xml:space="preserve">0000 Checking Account</t>
  </si>
  <si>
    <t xml:space="preserve">Checking Account</t>
  </si>
  <si>
    <t>Out</t>
  </si>
  <si>
    <t xml:space="preserve">5013 Wages Sr. Pastor</t>
  </si>
  <si>
    <t>Personnel</t>
  </si>
  <si>
    <t xml:space="preserve">Sr. Pastor</t>
  </si>
  <si>
    <t xml:space="preserve">07 Worship &amp; Arts</t>
  </si>
  <si>
    <t xml:space="preserve">07c Worship &amp; Arts Senior Pastor</t>
  </si>
  <si>
    <t xml:space="preserve">5014 Medical Sr. Pastor</t>
  </si>
  <si>
    <t xml:space="preserve">5015 Retirement Sr. Pastor</t>
  </si>
  <si>
    <t xml:space="preserve">5016 Social Security Offset Sr. Pastor</t>
  </si>
  <si>
    <t xml:space="preserve">5017 Business &amp; Auto Sr. Pastor</t>
  </si>
  <si>
    <t xml:space="preserve">5018 Housing Sr. Pastor</t>
  </si>
  <si>
    <t xml:space="preserve">5011 Continuing Ed Sr. Pastor</t>
  </si>
  <si>
    <t xml:space="preserve">Personnel - Education</t>
  </si>
  <si>
    <t xml:space="preserve">5019 Disability &amp; Life Sr. Pastor</t>
  </si>
  <si>
    <t xml:space="preserve">5020 Pastoral Search Expense</t>
  </si>
  <si>
    <t xml:space="preserve">Pastoral Search</t>
  </si>
  <si>
    <t xml:space="preserve">07a Worship &amp; Arts</t>
  </si>
  <si>
    <t xml:space="preserve">5042 FICA Music</t>
  </si>
  <si>
    <t>Music</t>
  </si>
  <si>
    <t xml:space="preserve">07b Worship &amp; Arts Music Staff</t>
  </si>
  <si>
    <t xml:space="preserve">5043 Wages Music</t>
  </si>
  <si>
    <t xml:space="preserve">6004 Audio Visual Contract Services</t>
  </si>
  <si>
    <t xml:space="preserve">Worship &amp; Arts</t>
  </si>
  <si>
    <t>Worship</t>
  </si>
  <si>
    <t xml:space="preserve">6005 Communion</t>
  </si>
  <si>
    <t xml:space="preserve">6015 Honorarim (Pulpit Organ)</t>
  </si>
  <si>
    <t xml:space="preserve">6016 Organ Repair</t>
  </si>
  <si>
    <t xml:space="preserve">Worship - Music &amp; Art</t>
  </si>
  <si>
    <t xml:space="preserve">6020 Instrument Maintenance</t>
  </si>
  <si>
    <t xml:space="preserve">6025 Misc Music Expense</t>
  </si>
  <si>
    <t xml:space="preserve">6030 Misc Worship Expense</t>
  </si>
  <si>
    <t xml:space="preserve">6035 Music and Rights</t>
  </si>
  <si>
    <t xml:space="preserve">6036 Choir Robes</t>
  </si>
  <si>
    <t xml:space="preserve">6040 Childrens Choir</t>
  </si>
  <si>
    <t xml:space="preserve">6045 Handbells</t>
  </si>
  <si>
    <t xml:space="preserve">5044 Continuing Education Music</t>
  </si>
  <si>
    <t xml:space="preserve">6050 Musicians</t>
  </si>
  <si>
    <t xml:space="preserve">6065 Special Worship</t>
  </si>
  <si>
    <t xml:space="preserve">6066 Orff Program</t>
  </si>
  <si>
    <t xml:space="preserve">6070 Ushers</t>
  </si>
  <si>
    <t xml:space="preserve">6075 Vespers</t>
  </si>
  <si>
    <t xml:space="preserve">Education, Music, &amp; Arts - split funded</t>
  </si>
  <si>
    <t xml:space="preserve">6076 Holiday/Memorial Flowers expenses</t>
  </si>
  <si>
    <t xml:space="preserve">6078 Audio Sound /Video Streaming expenses</t>
  </si>
  <si>
    <t xml:space="preserve">6081 Art Display Expense</t>
  </si>
  <si>
    <t xml:space="preserve">6082 Candle,Oil,Wreth Exp.</t>
  </si>
  <si>
    <t xml:space="preserve">6083 Vesting for Sanctuary</t>
  </si>
  <si>
    <t xml:space="preserve">6084 Chancel Guild expenses/Cook Trust</t>
  </si>
  <si>
    <t xml:space="preserve">6077 Audio sound expenses</t>
  </si>
  <si>
    <t xml:space="preserve">6079 Miscast Cabaret</t>
  </si>
  <si>
    <t xml:space="preserve">6080 Art Series</t>
  </si>
  <si>
    <t xml:space="preserve">5080 Continuing Education Youth</t>
  </si>
  <si>
    <t xml:space="preserve">Youth Ed</t>
  </si>
  <si>
    <t xml:space="preserve">08 Youth Ed</t>
  </si>
  <si>
    <t xml:space="preserve">08b Youth Ed Staff</t>
  </si>
  <si>
    <t xml:space="preserve">5072 FICA Youth</t>
  </si>
  <si>
    <t xml:space="preserve">5073 Wages Youth</t>
  </si>
  <si>
    <t xml:space="preserve">5074 Health Insurance Youth</t>
  </si>
  <si>
    <t xml:space="preserve">5075 Retirement Youth</t>
  </si>
  <si>
    <t xml:space="preserve">6105 Audio/Visual Church School</t>
  </si>
  <si>
    <t xml:space="preserve">08a Youth Ed</t>
  </si>
  <si>
    <t xml:space="preserve">6110 Confirmation/Communion</t>
  </si>
  <si>
    <t xml:space="preserve">6115 Curriculum Church School</t>
  </si>
  <si>
    <t xml:space="preserve">6116 Childrens Library</t>
  </si>
  <si>
    <t xml:space="preserve">6120 Family Programming</t>
  </si>
  <si>
    <t xml:space="preserve">6124 Junior and Senior Youth</t>
  </si>
  <si>
    <t xml:space="preserve">6126 Misc. Education Expense</t>
  </si>
  <si>
    <t xml:space="preserve">6130 Recognition/Development</t>
  </si>
  <si>
    <t xml:space="preserve">6135 Senior High Mission Trip</t>
  </si>
  <si>
    <t xml:space="preserve">Mission - split funded</t>
  </si>
  <si>
    <t xml:space="preserve">6145 Special Youth Service</t>
  </si>
  <si>
    <t xml:space="preserve">6150 Food, Church School</t>
  </si>
  <si>
    <t xml:space="preserve">6155 Supplies, Church School</t>
  </si>
  <si>
    <t xml:space="preserve">6160 Supplies Kinderwyk</t>
  </si>
  <si>
    <t xml:space="preserve">6165 Vacation Bible School</t>
  </si>
  <si>
    <t xml:space="preserve">6121 Camp Fowler scholarships</t>
  </si>
  <si>
    <t xml:space="preserve">6303 Undesignated and Emergency</t>
  </si>
  <si>
    <t>M&amp;B</t>
  </si>
  <si>
    <t xml:space="preserve">Mission - Covenant Fund</t>
  </si>
  <si>
    <t xml:space="preserve">09 M&amp;B</t>
  </si>
  <si>
    <t xml:space="preserve">6305 Education (M&amp;B)</t>
  </si>
  <si>
    <t xml:space="preserve">6310 Local Concerns</t>
  </si>
  <si>
    <t xml:space="preserve">6315 National Oversseas</t>
  </si>
  <si>
    <t xml:space="preserve">6319 Minister Discretionary (Sr Pastor)</t>
  </si>
  <si>
    <t xml:space="preserve">6322 Ministers Discretionary (Assoc. Pastor)</t>
  </si>
  <si>
    <t xml:space="preserve">6323 Albany Synod Programs</t>
  </si>
  <si>
    <t xml:space="preserve">6324 Camp Fowler support (M&amp;B)</t>
  </si>
  <si>
    <t xml:space="preserve">6325 Special Offerings</t>
  </si>
  <si>
    <t xml:space="preserve">Mission - Contributions</t>
  </si>
  <si>
    <t xml:space="preserve">6326 UP Mission</t>
  </si>
  <si>
    <t xml:space="preserve">UP Mission</t>
  </si>
  <si>
    <t xml:space="preserve">Mission - UP Mission Fund</t>
  </si>
  <si>
    <t xml:space="preserve">6340 Special Offering</t>
  </si>
  <si>
    <t xml:space="preserve">6306 Little Pantry</t>
  </si>
  <si>
    <t xml:space="preserve">6350 Other Covenant Programs</t>
  </si>
  <si>
    <t xml:space="preserve">10 Covenant Fund</t>
  </si>
  <si>
    <t xml:space="preserve">10a Covenant Fund Lunn</t>
  </si>
  <si>
    <t xml:space="preserve">6351 Approved Covenant Programs</t>
  </si>
  <si>
    <t xml:space="preserve">6356 Lunn Office</t>
  </si>
  <si>
    <t xml:space="preserve">6360 Small Grants</t>
  </si>
  <si>
    <t xml:space="preserve">6366 Wednesday Lunch</t>
  </si>
  <si>
    <t xml:space="preserve">10b Mission Coordinators</t>
  </si>
  <si>
    <t xml:space="preserve">6367 Mission &amp; Volunteer Expense</t>
  </si>
  <si>
    <t xml:space="preserve">6368 Kitchen supplies</t>
  </si>
  <si>
    <t xml:space="preserve">6369 To Go Containers</t>
  </si>
  <si>
    <t xml:space="preserve">6373 Wages Lunch Coordinator</t>
  </si>
  <si>
    <t xml:space="preserve">Wednesday lunch coordinator</t>
  </si>
  <si>
    <t xml:space="preserve">6374 FICA Lunch Coordinator</t>
  </si>
  <si>
    <t xml:space="preserve">6375 Continuing Education Lunch Coordinator</t>
  </si>
  <si>
    <t xml:space="preserve">6404 Period./Books/Newsp.for ass. pastor</t>
  </si>
  <si>
    <t xml:space="preserve">Adult Ed</t>
  </si>
  <si>
    <t xml:space="preserve">11 Adult Ed</t>
  </si>
  <si>
    <t xml:space="preserve">6405 Library Books</t>
  </si>
  <si>
    <t xml:space="preserve">6409 Scholarship from Education Fund expence </t>
  </si>
  <si>
    <t xml:space="preserve">6410 Devotional Literature/Small groups Literature</t>
  </si>
  <si>
    <t xml:space="preserve">6415 Faith Forming Weekend</t>
  </si>
  <si>
    <t xml:space="preserve">6420 Guest Spearkers and Adult Forum</t>
  </si>
  <si>
    <t xml:space="preserve">6430 Lenten Programming</t>
  </si>
  <si>
    <t xml:space="preserve">6435 Library Periodicals &amp; Fees</t>
  </si>
  <si>
    <t xml:space="preserve">6440 Resources (Adult Ed.)</t>
  </si>
  <si>
    <t xml:space="preserve">6445 Adult Retreats and Workshops</t>
  </si>
  <si>
    <t xml:space="preserve">6450 Small Groups</t>
  </si>
  <si>
    <t xml:space="preserve">6460 Library Supplies &amp; Equipment</t>
  </si>
  <si>
    <t xml:space="preserve">5051 Continuing Ed (Assoc Pastor)</t>
  </si>
  <si>
    <t xml:space="preserve">Assoc. Pastor</t>
  </si>
  <si>
    <t xml:space="preserve">12 Care &amp; Support</t>
  </si>
  <si>
    <t xml:space="preserve">12b Care &amp; Support Associate Pastor</t>
  </si>
  <si>
    <t xml:space="preserve">5053 Wages (Assoc Pastor)</t>
  </si>
  <si>
    <t xml:space="preserve">5054 Medical (Assoc Pastor)</t>
  </si>
  <si>
    <t xml:space="preserve">5055 Retirement (Assoc Pastor)</t>
  </si>
  <si>
    <t xml:space="preserve">5056 Social Security Offset (Assoc Pastor)</t>
  </si>
  <si>
    <t xml:space="preserve">5057 Business &amp; Auto (Assoc Pastor)</t>
  </si>
  <si>
    <t xml:space="preserve">5058 Housing Expense (Assoc Pastor)</t>
  </si>
  <si>
    <t xml:space="preserve">5059 Disability/Life (Assoc Pastor)</t>
  </si>
  <si>
    <t xml:space="preserve">6505 Honorariums</t>
  </si>
  <si>
    <t xml:space="preserve">Care &amp; Support</t>
  </si>
  <si>
    <t xml:space="preserve">12a Care &amp; Support</t>
  </si>
  <si>
    <t xml:space="preserve">6515 Resources Grief Booklets</t>
  </si>
  <si>
    <t xml:space="preserve">6520 Care &amp; Support Materials</t>
  </si>
  <si>
    <t xml:space="preserve">6521 Prayer Shawl</t>
  </si>
  <si>
    <t xml:space="preserve">6522 Flowers Support &amp; Care</t>
  </si>
  <si>
    <t xml:space="preserve">6605 Churchwide Social Events</t>
  </si>
  <si>
    <t>Membership</t>
  </si>
  <si>
    <t xml:space="preserve">13 Membership</t>
  </si>
  <si>
    <t xml:space="preserve">6610 Coffee Hour</t>
  </si>
  <si>
    <t xml:space="preserve">6620 Supplies Hospitality</t>
  </si>
  <si>
    <t xml:space="preserve">6705 Membership Committee</t>
  </si>
  <si>
    <t xml:space="preserve">6806 Composting</t>
  </si>
  <si>
    <t xml:space="preserve">Creation Care</t>
  </si>
  <si>
    <t xml:space="preserve">14 Creation Care</t>
  </si>
  <si>
    <t xml:space="preserve">6807 Supplies</t>
  </si>
  <si>
    <t xml:space="preserve">6808 Recycled Paper</t>
  </si>
  <si>
    <t xml:space="preserve">6809 Media</t>
  </si>
  <si>
    <t xml:space="preserve">5036 Continuing Education (Property)</t>
  </si>
  <si>
    <t>Maintenance</t>
  </si>
  <si>
    <t xml:space="preserve">15 Property</t>
  </si>
  <si>
    <t xml:space="preserve">15b Property Staff</t>
  </si>
  <si>
    <t xml:space="preserve">5032 FICA Maintenance (Property)</t>
  </si>
  <si>
    <t xml:space="preserve">5033 Wages Maintenance (Property)</t>
  </si>
  <si>
    <t xml:space="preserve">5034 Medical Maintenance (Property)</t>
  </si>
  <si>
    <t xml:space="preserve">5035 Retirement Maintenance (Property)</t>
  </si>
  <si>
    <t xml:space="preserve">5037 Houskeeping staff (new position)</t>
  </si>
  <si>
    <t xml:space="preserve">7001 Custodian Fee/Other serv. Fee</t>
  </si>
  <si>
    <t>Property</t>
  </si>
  <si>
    <t xml:space="preserve">15a Property</t>
  </si>
  <si>
    <t xml:space="preserve">7010 Electricity 10N Church</t>
  </si>
  <si>
    <t xml:space="preserve">7015 Electricity 12N Church</t>
  </si>
  <si>
    <t xml:space="preserve">7020 Electricity 8N Church</t>
  </si>
  <si>
    <t xml:space="preserve">7025 Electricity Parking Lot</t>
  </si>
  <si>
    <t xml:space="preserve">7030 Energy Improvements</t>
  </si>
  <si>
    <t xml:space="preserve">7035 Equipment (Maint.)</t>
  </si>
  <si>
    <t xml:space="preserve">7040 Fuel 10N Church</t>
  </si>
  <si>
    <t xml:space="preserve">7045 Fuel 12N Church</t>
  </si>
  <si>
    <t xml:space="preserve">7050 Fuel 8N Church</t>
  </si>
  <si>
    <t xml:space="preserve">7051 Solar 10 N Church</t>
  </si>
  <si>
    <t xml:space="preserve">7052 Solar 12N Church</t>
  </si>
  <si>
    <t xml:space="preserve">7053 Solar 8N Church</t>
  </si>
  <si>
    <t xml:space="preserve">7054 Solar Parking Lot</t>
  </si>
  <si>
    <t xml:space="preserve">7055 Grounds Upkeep</t>
  </si>
  <si>
    <t xml:space="preserve">7070 Misc Grounds Supplies</t>
  </si>
  <si>
    <t xml:space="preserve">7075 Regular Services</t>
  </si>
  <si>
    <t xml:space="preserve">7080 Repairs/Maint 10N Church</t>
  </si>
  <si>
    <t xml:space="preserve">7085 Repairs/Maint 12N Church</t>
  </si>
  <si>
    <t xml:space="preserve">7090 Repairs/Maint 8N Church</t>
  </si>
  <si>
    <t xml:space="preserve">7095 Security</t>
  </si>
  <si>
    <t xml:space="preserve">7100 Supplies/Cleaning</t>
  </si>
  <si>
    <t xml:space="preserve">7105 Supplies/Food (Maint.)</t>
  </si>
  <si>
    <t xml:space="preserve">7110 Supplies/Materials (Maint.)</t>
  </si>
  <si>
    <t xml:space="preserve">7115 Taxes &amp; Water</t>
  </si>
  <si>
    <t xml:space="preserve">7120 Operational Maintenance</t>
  </si>
  <si>
    <t xml:space="preserve">7121 Building Expense (unanticipated repairs)</t>
  </si>
  <si>
    <t xml:space="preserve">7122 Vale Cemetery upkeep</t>
  </si>
  <si>
    <t xml:space="preserve">8005 Audit and Consulting</t>
  </si>
  <si>
    <t>Finance</t>
  </si>
  <si>
    <t xml:space="preserve">16 Finance</t>
  </si>
  <si>
    <t xml:space="preserve">8010 Classis Assessments</t>
  </si>
  <si>
    <t xml:space="preserve">8015 Insurance</t>
  </si>
  <si>
    <t xml:space="preserve">8020 990 Preparation Expense </t>
  </si>
  <si>
    <t xml:space="preserve">8022 Finance Charge Online Giving</t>
  </si>
  <si>
    <t xml:space="preserve">8025 NYS Unemployment Insurance</t>
  </si>
  <si>
    <t xml:space="preserve">8030 Offering Envelopes</t>
  </si>
  <si>
    <t xml:space="preserve">8035 Payroll Processing</t>
  </si>
  <si>
    <t xml:space="preserve">8040 Stewardship</t>
  </si>
  <si>
    <t xml:space="preserve">8110 Archives &amp; Restoration</t>
  </si>
  <si>
    <t>Archives</t>
  </si>
  <si>
    <t xml:space="preserve">17 Archives</t>
  </si>
  <si>
    <t xml:space="preserve">8125 Supplies Archives</t>
  </si>
  <si>
    <t xml:space="preserve">8111 Four Chaplains(6 people)</t>
  </si>
  <si>
    <t xml:space="preserve">5006 Continuing Education Administration</t>
  </si>
  <si>
    <t>Office</t>
  </si>
  <si>
    <t xml:space="preserve">18 Administration</t>
  </si>
  <si>
    <t xml:space="preserve">18b Administration Staff</t>
  </si>
  <si>
    <t xml:space="preserve">5002 FICA Administration</t>
  </si>
  <si>
    <t xml:space="preserve">5003 Wages Administration</t>
  </si>
  <si>
    <t xml:space="preserve">5004 Retirement Administration</t>
  </si>
  <si>
    <t xml:space="preserve">5005 Medical Administration</t>
  </si>
  <si>
    <t xml:space="preserve">9001 Personnel Committee expense</t>
  </si>
  <si>
    <t xml:space="preserve">18a Administration</t>
  </si>
  <si>
    <t xml:space="preserve">9002 Business ans auto expense</t>
  </si>
  <si>
    <t xml:space="preserve">9005 Computer Maint/Repair/Internet</t>
  </si>
  <si>
    <t xml:space="preserve">9007 Audio Visual Contract Services (replaced by 6004 in Worship)</t>
  </si>
  <si>
    <t xml:space="preserve">9010 Consistory Expense</t>
  </si>
  <si>
    <t xml:space="preserve">9015 Copier/Cannon rent./Maint.</t>
  </si>
  <si>
    <t xml:space="preserve">9020 Equipment</t>
  </si>
  <si>
    <t xml:space="preserve">9025 Office Supplies</t>
  </si>
  <si>
    <t xml:space="preserve">9030 Other Admin Expense</t>
  </si>
  <si>
    <t xml:space="preserve">9035 Paper</t>
  </si>
  <si>
    <t xml:space="preserve">9040 Postage</t>
  </si>
  <si>
    <t xml:space="preserve">9045 Printing</t>
  </si>
  <si>
    <t xml:space="preserve">9055 Staff Searches</t>
  </si>
  <si>
    <t xml:space="preserve">9060 Telephone &amp; Internet</t>
  </si>
  <si>
    <t xml:space="preserve">9061 Contract Services/Zoom/Google...</t>
  </si>
  <si>
    <t xml:space="preserve">9050 Staff Development Administration</t>
  </si>
  <si>
    <t>9111 Advertising</t>
  </si>
  <si>
    <t>Communications</t>
  </si>
  <si>
    <t xml:space="preserve">19 Communications</t>
  </si>
  <si>
    <t xml:space="preserve">19a Communications</t>
  </si>
  <si>
    <t xml:space="preserve">9112 Website</t>
  </si>
  <si>
    <t xml:space="preserve">9113 Communication Technology</t>
  </si>
  <si>
    <t xml:space="preserve">9114 Volunteer Needs</t>
  </si>
  <si>
    <t xml:space="preserve">9115 Paper</t>
  </si>
  <si>
    <t xml:space="preserve">9116 Supplies</t>
  </si>
  <si>
    <t xml:space="preserve">9121 Wages Communication Specialist</t>
  </si>
  <si>
    <t xml:space="preserve">Communication Specialist</t>
  </si>
  <si>
    <t xml:space="preserve">19b Communications Staff</t>
  </si>
  <si>
    <t xml:space="preserve">9122 FICA Communication Specialist</t>
  </si>
  <si>
    <t xml:space="preserve">9123 Retirement Communication Speicalist</t>
  </si>
  <si>
    <t xml:space="preserve">9125 Continuing Education Communications Specialist</t>
  </si>
  <si>
    <t xml:space="preserve">1234 Designated Fund Income</t>
  </si>
  <si>
    <t xml:space="preserve">20 Designated</t>
  </si>
  <si>
    <t xml:space="preserve">4045a Linear Adj: UP Mission Fund Income</t>
  </si>
  <si>
    <t xml:space="preserve">Investment Income - Linear Adjustments</t>
  </si>
  <si>
    <t xml:space="preserve">Linear Adjustment</t>
  </si>
  <si>
    <t xml:space="preserve">4046a Linear Adj: UP Mission Fund Income</t>
  </si>
  <si>
    <t xml:space="preserve">4049a Linear Adj: Tercentenary Income</t>
  </si>
  <si>
    <t xml:space="preserve">4061a Linear Adj: McDonald (Covenant)</t>
  </si>
  <si>
    <t xml:space="preserve">4062a Linear Adj: Covenant Fund Income</t>
  </si>
  <si>
    <t xml:space="preserve">4063a Linear Adj: Covenant Income for M&amp;B</t>
  </si>
  <si>
    <t xml:space="preserve">2215a Linear Adj: Checking Account</t>
  </si>
  <si>
    <t xml:space="preserve">4041a Linear Adj: Endowment Income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</si>
</sst>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0.000000"/>
      <color theme="1"/>
      <name val="Arial"/>
      <scheme val="minor"/>
    </font>
    <font>
      <sz val="10.000000"/>
      <name val="Arial"/>
    </font>
    <font>
      <b/>
      <sz val="11.000000"/>
      <color theme="1"/>
      <name val="Arial"/>
    </font>
    <font>
      <sz val="10.000000"/>
      <name val="Arial"/>
      <scheme val="minor"/>
    </font>
    <font>
      <sz val="11.000000"/>
      <color theme="1"/>
      <name val="Arial"/>
    </font>
    <font>
      <sz val="10.000000"/>
      <color indexed="2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indexed="5"/>
      </patternFill>
    </fill>
    <fill>
      <patternFill patternType="solid">
        <fgColor indexed="65"/>
      </patternFill>
    </fill>
    <fill>
      <patternFill patternType="solid">
        <fgColor theme="0"/>
        <bgColor rgb="FFD9D9D9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theme="4" tint="0.39997558519241921"/>
      </left>
      <right style="none"/>
      <top style="thin">
        <color theme="4" tint="0.39997558519241921"/>
      </top>
      <bottom style="thin">
        <color theme="4" tint="0.3999755851924192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15">
    <xf fontId="0" fillId="0" borderId="0" numFmtId="0" xfId="0"/>
    <xf fontId="0" fillId="0" borderId="0" numFmtId="0" xfId="0" applyAlignment="1">
      <alignment vertical="top"/>
    </xf>
    <xf fontId="0" fillId="0" borderId="0" numFmtId="0" xfId="0" applyAlignment="1">
      <alignment vertical="center"/>
    </xf>
    <xf fontId="2" fillId="2" borderId="1" numFmtId="49" xfId="0" applyNumberFormat="1" applyFont="1" applyFill="1" applyBorder="1" applyAlignment="1">
      <alignment horizontal="center" vertical="center" wrapText="1"/>
    </xf>
    <xf fontId="0" fillId="0" borderId="0" numFmtId="0" xfId="0">
      <protection hidden="0" locked="1"/>
    </xf>
    <xf fontId="0" fillId="0" borderId="0" numFmtId="0" xfId="0" applyAlignment="1">
      <alignment vertical="top"/>
    </xf>
    <xf fontId="3" fillId="0" borderId="0" numFmtId="0" xfId="0" applyFont="1" applyAlignment="1">
      <alignment vertical="top"/>
    </xf>
    <xf fontId="3" fillId="3" borderId="0" numFmtId="0" xfId="0" applyFont="1" applyFill="1" applyAlignment="1">
      <alignment vertical="top"/>
    </xf>
    <xf fontId="0" fillId="0" borderId="0" numFmtId="0" xfId="0"/>
    <xf fontId="0" fillId="0" borderId="0" numFmtId="0" xfId="0" applyAlignment="1">
      <alignment horizontal="left" vertical="top"/>
    </xf>
    <xf fontId="4" fillId="4" borderId="2" numFmtId="0" xfId="0" applyFont="1" applyFill="1" applyBorder="1" applyAlignment="1">
      <alignment vertical="top"/>
    </xf>
    <xf fontId="4" fillId="5" borderId="2" numFmtId="0" xfId="0" applyFont="1" applyFill="1" applyBorder="1" applyAlignment="1">
      <alignment vertical="top"/>
    </xf>
    <xf fontId="5" fillId="0" borderId="0" numFmtId="0" xfId="0" applyFont="1" applyAlignment="1">
      <alignment vertical="top"/>
    </xf>
    <xf fontId="5" fillId="3" borderId="2" numFmtId="0" xfId="0" applyFont="1" applyFill="1" applyBorder="1" applyAlignment="1">
      <alignment vertical="top"/>
    </xf>
    <xf fontId="5" fillId="0" borderId="2" numFmtId="0" xfId="0" applyFont="1" applyBorder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2" Type="http://schemas.openxmlformats.org/officeDocument/2006/relationships/connections" Target="connections.xml"/><Relationship  Id="rId3" Type="http://schemas.microsoft.com/office/2017/10/relationships/person" Target="persons/person.xml"/><Relationship  Id="rId4" Type="http://schemas.openxmlformats.org/officeDocument/2006/relationships/worksheet" Target="worksheets/sheet1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budget%2011-01-2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11-01-23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avid Hjelmar" id="{B9EA770B-877A-50D9-AB05-9A106AC20899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" personId="{B9EA770B-877A-50D9-AB05-9A106AC20899}" id="{7252F538-6D6E-97D8-146C-E9E4379178FC}" done="0">
    <text xml:space="preserve">only used from Covenant Fund in 2022. not used at all in 2023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" zoomScale="100" workbookViewId="0">
      <pane ySplit="2" topLeftCell="A3" activePane="bottomLeft" state="frozen"/>
      <selection activeCell="G139" activeCellId="0" sqref="G127:G139"/>
    </sheetView>
  </sheetViews>
  <sheetFormatPr defaultRowHeight="12.75"/>
  <cols>
    <col customWidth="1" min="1" max="1" style="1" width="10.8515625"/>
    <col bestFit="1" customWidth="1" min="2" max="2" style="1" width="22.140625"/>
    <col customWidth="1" min="3" max="3" style="1" width="22.140625"/>
    <col bestFit="1" customWidth="1" min="4" max="4" style="1" width="56.57421875"/>
    <col customWidth="1" min="5" max="8" style="1" width="32.85546875"/>
    <col customWidth="1" min="9" max="10" width="32.85546875"/>
    <col min="11" max="16384" style="1" width="9.140625"/>
  </cols>
  <sheetData>
    <row r="1" s="2" customFormat="1" ht="21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>
        <v>0</v>
      </c>
      <c r="L1" s="2"/>
      <c r="M1" s="2"/>
      <c r="N1" s="2"/>
      <c r="O1" s="2"/>
    </row>
    <row r="2">
      <c r="A2" s="1" t="s">
        <v>10</v>
      </c>
      <c r="B2" s="1" t="str">
        <f>E2</f>
        <v>Operations</v>
      </c>
      <c r="C2" s="1" t="str">
        <f>F2</f>
        <v>Contributions</v>
      </c>
      <c r="D2" s="4" t="s">
        <v>11</v>
      </c>
      <c r="E2" s="1" t="s">
        <v>12</v>
      </c>
      <c r="F2" s="1" t="s">
        <v>13</v>
      </c>
      <c r="G2" s="1" t="s">
        <v>12</v>
      </c>
      <c r="H2" s="1" t="s">
        <v>13</v>
      </c>
      <c r="I2" s="1" t="s">
        <v>14</v>
      </c>
      <c r="J2" s="1" t="s">
        <v>14</v>
      </c>
      <c r="K2" s="1">
        <f>IF(B2=B1,K1,K1+1)</f>
        <v>1</v>
      </c>
      <c r="L2" s="1"/>
      <c r="M2" s="1"/>
      <c r="N2" s="1"/>
      <c r="O2" s="1"/>
      <c r="P2" s="1"/>
      <c r="Q2" s="1"/>
      <c r="R2" s="1"/>
      <c r="S2" s="1"/>
    </row>
    <row r="3">
      <c r="A3" s="1" t="s">
        <v>10</v>
      </c>
      <c r="B3" s="1" t="str">
        <f>E3</f>
        <v>Operations</v>
      </c>
      <c r="C3" s="1" t="str">
        <f>F3</f>
        <v>Contributions</v>
      </c>
      <c r="D3" s="1" t="s">
        <v>15</v>
      </c>
      <c r="E3" s="1" t="s">
        <v>12</v>
      </c>
      <c r="F3" s="1" t="s">
        <v>13</v>
      </c>
      <c r="G3" s="1" t="s">
        <v>12</v>
      </c>
      <c r="H3" s="1" t="s">
        <v>13</v>
      </c>
      <c r="I3" s="1" t="s">
        <v>14</v>
      </c>
      <c r="J3" s="1" t="s">
        <v>14</v>
      </c>
      <c r="K3" s="1">
        <f>IF(B3=B2,K2,K2+1)</f>
        <v>1</v>
      </c>
      <c r="L3" s="1"/>
      <c r="M3" s="1"/>
      <c r="N3" s="1"/>
      <c r="O3" s="1"/>
      <c r="P3" s="1"/>
      <c r="Q3" s="1"/>
      <c r="R3" s="1"/>
      <c r="S3" s="1"/>
    </row>
    <row r="4">
      <c r="A4" s="1" t="s">
        <v>10</v>
      </c>
      <c r="B4" s="1" t="str">
        <f>E4</f>
        <v>Operations</v>
      </c>
      <c r="C4" s="1" t="str">
        <f>F4</f>
        <v xml:space="preserve">Contributions - pledge</v>
      </c>
      <c r="D4" s="1" t="s">
        <v>16</v>
      </c>
      <c r="E4" s="1" t="s">
        <v>12</v>
      </c>
      <c r="F4" s="1" t="s">
        <v>17</v>
      </c>
      <c r="G4" s="1" t="s">
        <v>12</v>
      </c>
      <c r="H4" s="1" t="s">
        <v>17</v>
      </c>
      <c r="I4" s="1" t="s">
        <v>18</v>
      </c>
      <c r="J4" s="1" t="s">
        <v>18</v>
      </c>
      <c r="K4" s="1">
        <f>IF(B4=B3,K3,K3+1)</f>
        <v>1</v>
      </c>
      <c r="L4" s="1"/>
      <c r="M4" s="1"/>
      <c r="N4" s="1"/>
      <c r="O4" s="1"/>
      <c r="P4" s="1"/>
      <c r="R4" s="1"/>
      <c r="S4" s="1"/>
    </row>
    <row r="5">
      <c r="A5" s="1" t="s">
        <v>10</v>
      </c>
      <c r="B5" s="1" t="str">
        <f>E5</f>
        <v>Operations</v>
      </c>
      <c r="C5" s="1" t="str">
        <f>F5</f>
        <v>Contributions</v>
      </c>
      <c r="D5" t="s">
        <v>19</v>
      </c>
      <c r="E5" s="1" t="s">
        <v>12</v>
      </c>
      <c r="F5" s="1" t="s">
        <v>13</v>
      </c>
      <c r="G5" s="1" t="s">
        <v>12</v>
      </c>
      <c r="H5" s="1" t="s">
        <v>13</v>
      </c>
      <c r="I5" s="1" t="s">
        <v>18</v>
      </c>
      <c r="J5" s="1" t="s">
        <v>18</v>
      </c>
      <c r="K5" s="1">
        <f>IF(B5=B4,K4,K4+1)</f>
        <v>1</v>
      </c>
      <c r="L5" s="1"/>
      <c r="M5" s="1"/>
      <c r="O5" s="1"/>
      <c r="P5" s="1"/>
      <c r="R5" s="1"/>
      <c r="S5" s="1"/>
    </row>
    <row r="6">
      <c r="A6" s="1" t="s">
        <v>10</v>
      </c>
      <c r="B6" s="1" t="str">
        <f>E6</f>
        <v>Operations</v>
      </c>
      <c r="C6" s="1" t="str">
        <f>F6</f>
        <v>Contributions</v>
      </c>
      <c r="D6" s="1" t="s">
        <v>20</v>
      </c>
      <c r="E6" s="1" t="s">
        <v>12</v>
      </c>
      <c r="F6" s="1" t="s">
        <v>13</v>
      </c>
      <c r="G6" s="1" t="s">
        <v>12</v>
      </c>
      <c r="H6" s="1" t="s">
        <v>13</v>
      </c>
      <c r="I6" s="1" t="s">
        <v>18</v>
      </c>
      <c r="J6" s="1" t="s">
        <v>18</v>
      </c>
      <c r="K6" s="1">
        <f>IF(B6=B5,K5,K5+1)</f>
        <v>1</v>
      </c>
      <c r="L6" s="1"/>
      <c r="M6" s="1"/>
      <c r="N6" s="1"/>
      <c r="O6" s="1"/>
      <c r="P6" s="1"/>
      <c r="R6" s="1"/>
      <c r="S6" s="1"/>
    </row>
    <row r="7">
      <c r="A7" s="1" t="s">
        <v>10</v>
      </c>
      <c r="B7" s="1" t="str">
        <f>E7</f>
        <v>Operations</v>
      </c>
      <c r="C7" s="1" t="str">
        <f>F7</f>
        <v>Contributions</v>
      </c>
      <c r="D7" s="1" t="s">
        <v>21</v>
      </c>
      <c r="E7" s="1" t="s">
        <v>12</v>
      </c>
      <c r="F7" s="1" t="s">
        <v>13</v>
      </c>
      <c r="G7" s="1" t="s">
        <v>12</v>
      </c>
      <c r="H7" s="1" t="s">
        <v>13</v>
      </c>
      <c r="I7" s="1" t="s">
        <v>18</v>
      </c>
      <c r="J7" s="1" t="s">
        <v>18</v>
      </c>
      <c r="K7" s="1">
        <f>IF(B7=B6,K6,K6+1)</f>
        <v>1</v>
      </c>
      <c r="L7" s="1"/>
      <c r="M7" s="1"/>
      <c r="N7" s="1"/>
      <c r="O7" s="1"/>
      <c r="P7" s="1"/>
      <c r="R7" s="1"/>
      <c r="S7" s="1"/>
    </row>
    <row r="8">
      <c r="A8" s="1" t="s">
        <v>10</v>
      </c>
      <c r="B8" s="1" t="str">
        <f>E8</f>
        <v>Mission</v>
      </c>
      <c r="C8" s="1" t="str">
        <f>F8</f>
        <v>Contributions</v>
      </c>
      <c r="D8" s="1" t="s">
        <v>22</v>
      </c>
      <c r="E8" s="1" t="s">
        <v>23</v>
      </c>
      <c r="F8" s="1" t="s">
        <v>13</v>
      </c>
      <c r="G8" s="1" t="s">
        <v>23</v>
      </c>
      <c r="H8" s="1" t="s">
        <v>13</v>
      </c>
      <c r="I8" s="1" t="s">
        <v>18</v>
      </c>
      <c r="J8" s="1" t="s">
        <v>18</v>
      </c>
      <c r="K8" s="1">
        <f>IF(B8=B7,K7,K7+1)</f>
        <v>2</v>
      </c>
      <c r="L8" s="1"/>
      <c r="M8" s="1"/>
      <c r="N8" s="1"/>
      <c r="O8" s="1"/>
      <c r="P8" s="1"/>
      <c r="R8" s="1"/>
      <c r="S8" s="1"/>
    </row>
    <row r="9">
      <c r="A9" s="1" t="s">
        <v>10</v>
      </c>
      <c r="B9" s="1" t="str">
        <f>E9</f>
        <v>Mission</v>
      </c>
      <c r="C9" s="1" t="str">
        <f>F9</f>
        <v>Contributions</v>
      </c>
      <c r="D9" s="1" t="s">
        <v>24</v>
      </c>
      <c r="E9" s="1" t="s">
        <v>23</v>
      </c>
      <c r="F9" s="1" t="s">
        <v>13</v>
      </c>
      <c r="G9" s="1" t="s">
        <v>23</v>
      </c>
      <c r="H9" s="1" t="s">
        <v>13</v>
      </c>
      <c r="I9" s="1" t="s">
        <v>18</v>
      </c>
      <c r="J9" s="1" t="s">
        <v>18</v>
      </c>
      <c r="K9" s="1">
        <f>IF(B9=B8,K8,K8+1)</f>
        <v>2</v>
      </c>
      <c r="L9" s="1"/>
      <c r="M9" s="1"/>
      <c r="N9" s="1"/>
      <c r="O9" s="1"/>
      <c r="P9" s="1"/>
      <c r="R9" s="1"/>
      <c r="S9" s="1"/>
    </row>
    <row r="10">
      <c r="A10" s="1" t="s">
        <v>10</v>
      </c>
      <c r="B10" s="1" t="str">
        <f>E10</f>
        <v>Mission</v>
      </c>
      <c r="C10" s="1" t="str">
        <f>F10</f>
        <v>Contributions</v>
      </c>
      <c r="D10" s="1" t="s">
        <v>25</v>
      </c>
      <c r="E10" s="1" t="s">
        <v>23</v>
      </c>
      <c r="F10" s="1" t="s">
        <v>13</v>
      </c>
      <c r="G10" s="1" t="s">
        <v>23</v>
      </c>
      <c r="H10" s="1" t="s">
        <v>13</v>
      </c>
      <c r="I10" s="1" t="s">
        <v>18</v>
      </c>
      <c r="J10" s="1" t="s">
        <v>18</v>
      </c>
      <c r="K10" s="1">
        <f>IF(B10=B9,K9,K9+1)</f>
        <v>2</v>
      </c>
      <c r="L10" s="1"/>
      <c r="M10" s="1"/>
      <c r="N10" s="1"/>
      <c r="O10" s="1"/>
      <c r="P10" s="1"/>
      <c r="R10" s="1"/>
      <c r="S10" s="1"/>
    </row>
    <row r="11">
      <c r="A11" s="1" t="s">
        <v>10</v>
      </c>
      <c r="B11" s="1" t="str">
        <f>E11</f>
        <v>Mission</v>
      </c>
      <c r="C11" s="1" t="str">
        <f>F11</f>
        <v>Contributions</v>
      </c>
      <c r="D11" s="1" t="s">
        <v>26</v>
      </c>
      <c r="E11" s="1" t="s">
        <v>23</v>
      </c>
      <c r="F11" s="1" t="s">
        <v>13</v>
      </c>
      <c r="G11" s="1" t="s">
        <v>23</v>
      </c>
      <c r="H11" s="1" t="s">
        <v>13</v>
      </c>
      <c r="I11" s="1" t="s">
        <v>18</v>
      </c>
      <c r="J11" s="1" t="s">
        <v>18</v>
      </c>
      <c r="K11" s="1">
        <f>IF(B11=B10,K10,K10+1)</f>
        <v>2</v>
      </c>
      <c r="L11" s="1"/>
      <c r="M11" s="1"/>
      <c r="N11" s="1"/>
      <c r="O11" s="1"/>
      <c r="P11" s="1"/>
      <c r="R11" s="1"/>
      <c r="S11" s="1"/>
    </row>
    <row r="12">
      <c r="A12" s="1" t="s">
        <v>10</v>
      </c>
      <c r="B12" s="1" t="str">
        <f>E12</f>
        <v>Operations</v>
      </c>
      <c r="C12" s="1" t="str">
        <f>F12</f>
        <v xml:space="preserve">Contributions - pledge</v>
      </c>
      <c r="D12" s="1" t="s">
        <v>27</v>
      </c>
      <c r="E12" s="1" t="s">
        <v>12</v>
      </c>
      <c r="F12" s="1" t="s">
        <v>17</v>
      </c>
      <c r="G12" s="1" t="s">
        <v>12</v>
      </c>
      <c r="H12" s="1" t="s">
        <v>17</v>
      </c>
      <c r="I12" s="1" t="s">
        <v>18</v>
      </c>
      <c r="J12" s="1" t="s">
        <v>18</v>
      </c>
      <c r="K12" s="1">
        <f>IF(B12=B11,K11,K11+1)</f>
        <v>3</v>
      </c>
      <c r="L12" s="1"/>
      <c r="M12" s="1"/>
      <c r="N12" s="1"/>
      <c r="O12" s="1"/>
      <c r="P12" s="1"/>
      <c r="R12" s="1"/>
      <c r="S12" s="1"/>
    </row>
    <row r="13">
      <c r="A13" s="1" t="s">
        <v>10</v>
      </c>
      <c r="B13" s="1" t="str">
        <f>E13</f>
        <v>Mission</v>
      </c>
      <c r="C13" s="1" t="str">
        <f>F13</f>
        <v>Contributions</v>
      </c>
      <c r="D13" s="1" t="s">
        <v>28</v>
      </c>
      <c r="E13" s="1" t="s">
        <v>23</v>
      </c>
      <c r="F13" s="1" t="s">
        <v>13</v>
      </c>
      <c r="G13" s="1" t="s">
        <v>23</v>
      </c>
      <c r="H13" s="1" t="s">
        <v>13</v>
      </c>
      <c r="I13" s="1" t="s">
        <v>18</v>
      </c>
      <c r="J13" s="1" t="s">
        <v>18</v>
      </c>
      <c r="K13" s="1">
        <f>IF(B13=B12,K12,K12+1)</f>
        <v>4</v>
      </c>
      <c r="L13" s="1"/>
      <c r="M13" s="1"/>
      <c r="N13" s="1"/>
      <c r="O13" s="1"/>
      <c r="P13" s="1"/>
      <c r="R13" s="1"/>
      <c r="S13" s="1"/>
    </row>
    <row r="14">
      <c r="A14" s="1" t="s">
        <v>10</v>
      </c>
      <c r="B14" s="1" t="str">
        <f>E14</f>
        <v>Operations</v>
      </c>
      <c r="C14" s="1" t="str">
        <f>F14</f>
        <v xml:space="preserve">Contributions - pledge</v>
      </c>
      <c r="D14" s="1" t="s">
        <v>29</v>
      </c>
      <c r="E14" s="1" t="s">
        <v>12</v>
      </c>
      <c r="F14" s="5" t="s">
        <v>17</v>
      </c>
      <c r="G14" s="1" t="s">
        <v>12</v>
      </c>
      <c r="H14" s="1" t="s">
        <v>17</v>
      </c>
      <c r="I14" s="1" t="s">
        <v>18</v>
      </c>
      <c r="J14" s="1" t="s">
        <v>18</v>
      </c>
      <c r="K14" s="1">
        <f>IF(B14=B13,K13,K13+1)</f>
        <v>5</v>
      </c>
      <c r="L14" s="1"/>
      <c r="M14" s="1"/>
      <c r="N14" s="1"/>
      <c r="O14" s="1"/>
      <c r="P14" s="1"/>
      <c r="R14" s="1"/>
      <c r="S14" s="1"/>
    </row>
    <row r="15">
      <c r="A15" s="1" t="s">
        <v>10</v>
      </c>
      <c r="B15" s="1" t="str">
        <f>E15</f>
        <v>Mission</v>
      </c>
      <c r="C15" s="1" t="str">
        <f>F15</f>
        <v>Contributions</v>
      </c>
      <c r="D15" s="1" t="s">
        <v>30</v>
      </c>
      <c r="E15" s="1" t="s">
        <v>23</v>
      </c>
      <c r="F15" s="1" t="s">
        <v>13</v>
      </c>
      <c r="G15" s="1" t="s">
        <v>23</v>
      </c>
      <c r="H15" s="1" t="s">
        <v>13</v>
      </c>
      <c r="I15" s="1" t="s">
        <v>18</v>
      </c>
      <c r="J15" s="1" t="s">
        <v>18</v>
      </c>
      <c r="K15" s="1">
        <f>IF(B15=B14,K14,K14+1)</f>
        <v>6</v>
      </c>
      <c r="L15" s="1"/>
      <c r="M15" s="1"/>
      <c r="N15" s="1"/>
      <c r="O15" s="1"/>
      <c r="P15" s="1"/>
      <c r="R15" s="1"/>
      <c r="S15" s="1"/>
    </row>
    <row r="16">
      <c r="A16" s="1" t="s">
        <v>10</v>
      </c>
      <c r="B16" s="1" t="str">
        <f>E16</f>
        <v>Operations</v>
      </c>
      <c r="C16" s="1" t="str">
        <f>F16</f>
        <v>Contributions</v>
      </c>
      <c r="D16" s="1" t="s">
        <v>31</v>
      </c>
      <c r="E16" s="1" t="s">
        <v>12</v>
      </c>
      <c r="F16" s="1" t="s">
        <v>13</v>
      </c>
      <c r="G16" s="1" t="s">
        <v>12</v>
      </c>
      <c r="H16" s="1" t="s">
        <v>13</v>
      </c>
      <c r="I16" s="1" t="s">
        <v>18</v>
      </c>
      <c r="J16" s="1" t="s">
        <v>18</v>
      </c>
      <c r="K16" s="1">
        <f>IF(B16=B15,K15,K15+1)</f>
        <v>7</v>
      </c>
      <c r="L16" s="1"/>
      <c r="M16" s="1"/>
      <c r="N16" s="1"/>
      <c r="O16" s="1"/>
      <c r="P16" s="1"/>
      <c r="R16" s="1"/>
      <c r="S16" s="1"/>
    </row>
    <row r="17">
      <c r="A17" s="1" t="s">
        <v>10</v>
      </c>
      <c r="B17" s="1" t="str">
        <f>E17</f>
        <v>Operations</v>
      </c>
      <c r="C17" s="1" t="str">
        <f>F17</f>
        <v>Contributions</v>
      </c>
      <c r="D17" s="1" t="s">
        <v>32</v>
      </c>
      <c r="E17" s="1" t="s">
        <v>12</v>
      </c>
      <c r="F17" s="1" t="s">
        <v>13</v>
      </c>
      <c r="G17" s="1" t="s">
        <v>12</v>
      </c>
      <c r="H17" s="1" t="s">
        <v>13</v>
      </c>
      <c r="I17" s="1" t="s">
        <v>18</v>
      </c>
      <c r="J17" s="1" t="s">
        <v>18</v>
      </c>
      <c r="K17" s="1">
        <f>IF(B17=B16,K16,K16+1)</f>
        <v>7</v>
      </c>
      <c r="L17" s="1"/>
      <c r="M17" s="1"/>
      <c r="N17" s="1"/>
      <c r="O17" s="1"/>
      <c r="P17" s="1"/>
      <c r="R17" s="1"/>
      <c r="S17" s="1"/>
    </row>
    <row r="18">
      <c r="A18" s="1" t="s">
        <v>10</v>
      </c>
      <c r="B18" s="1" t="str">
        <f>E18</f>
        <v>Operations</v>
      </c>
      <c r="C18" s="1" t="str">
        <f>F18</f>
        <v>Contributions</v>
      </c>
      <c r="D18" s="1" t="s">
        <v>33</v>
      </c>
      <c r="E18" s="1" t="s">
        <v>12</v>
      </c>
      <c r="F18" s="1" t="s">
        <v>13</v>
      </c>
      <c r="G18" s="1" t="s">
        <v>12</v>
      </c>
      <c r="H18" s="1" t="s">
        <v>13</v>
      </c>
      <c r="I18" s="1" t="s">
        <v>18</v>
      </c>
      <c r="J18" s="1" t="s">
        <v>18</v>
      </c>
      <c r="K18" s="1">
        <f>IF(B18=B17,K17,K17+1)</f>
        <v>7</v>
      </c>
      <c r="L18" s="1"/>
      <c r="M18" s="1"/>
      <c r="N18" s="1"/>
      <c r="O18" s="1"/>
      <c r="P18" s="1"/>
      <c r="R18" s="1"/>
      <c r="S18" s="1"/>
    </row>
    <row r="19">
      <c r="A19" s="1" t="s">
        <v>10</v>
      </c>
      <c r="B19" s="1" t="str">
        <f>E19</f>
        <v>Designated</v>
      </c>
      <c r="C19" s="1" t="str">
        <f>F19</f>
        <v>Contributions</v>
      </c>
      <c r="D19" t="s">
        <v>34</v>
      </c>
      <c r="E19" s="1" t="s">
        <v>35</v>
      </c>
      <c r="F19" s="1" t="s">
        <v>13</v>
      </c>
      <c r="G19" s="1" t="s">
        <v>35</v>
      </c>
      <c r="H19" s="1" t="s">
        <v>13</v>
      </c>
      <c r="I19" s="1" t="s">
        <v>18</v>
      </c>
      <c r="J19" s="1" t="s">
        <v>18</v>
      </c>
      <c r="K19" s="1">
        <f>IF(B19=B18,K18,K18+1)</f>
        <v>8</v>
      </c>
      <c r="L19" s="1"/>
      <c r="M19" s="1"/>
      <c r="N19" s="1"/>
      <c r="O19" s="1"/>
      <c r="P19" s="1"/>
      <c r="R19" s="1"/>
      <c r="S19" s="1"/>
    </row>
    <row r="20">
      <c r="A20" s="1" t="s">
        <v>10</v>
      </c>
      <c r="B20" s="1" t="str">
        <f>E20</f>
        <v>Operations</v>
      </c>
      <c r="C20" s="1" t="str">
        <f>F20</f>
        <v>Checking</v>
      </c>
      <c r="D20" s="6" t="s">
        <v>36</v>
      </c>
      <c r="E20" s="1" t="s">
        <v>12</v>
      </c>
      <c r="F20" s="1" t="s">
        <v>37</v>
      </c>
      <c r="G20" s="1" t="s">
        <v>12</v>
      </c>
      <c r="H20" s="1" t="s">
        <v>37</v>
      </c>
      <c r="I20" s="1" t="s">
        <v>38</v>
      </c>
      <c r="J20" s="1" t="s">
        <v>38</v>
      </c>
      <c r="K20" s="1">
        <f>IF(B20=B19,K19,K19+1)</f>
        <v>9</v>
      </c>
      <c r="L20" s="1"/>
      <c r="M20" s="1"/>
      <c r="N20" s="1"/>
      <c r="O20" s="1"/>
      <c r="P20" s="1"/>
      <c r="R20" s="1"/>
      <c r="S20" s="1"/>
    </row>
    <row r="21">
      <c r="A21" s="1" t="s">
        <v>10</v>
      </c>
      <c r="B21" s="1" t="str">
        <f>E21</f>
        <v>Operations</v>
      </c>
      <c r="C21" s="1" t="str">
        <f>F21</f>
        <v>Endowment</v>
      </c>
      <c r="D21" s="6" t="s">
        <v>39</v>
      </c>
      <c r="E21" s="1" t="s">
        <v>12</v>
      </c>
      <c r="F21" s="1" t="s">
        <v>40</v>
      </c>
      <c r="G21" s="1" t="s">
        <v>12</v>
      </c>
      <c r="H21" s="1" t="s">
        <v>40</v>
      </c>
      <c r="I21" s="1" t="s">
        <v>38</v>
      </c>
      <c r="J21" s="1" t="s">
        <v>38</v>
      </c>
      <c r="K21" s="1">
        <f>IF(B21=B20,K20,K20+1)</f>
        <v>9</v>
      </c>
      <c r="L21" s="1"/>
      <c r="M21" s="1"/>
      <c r="N21" s="1"/>
      <c r="O21" s="1"/>
      <c r="P21" s="1"/>
      <c r="R21" s="1"/>
      <c r="S21" s="1"/>
    </row>
    <row r="22">
      <c r="A22" s="1" t="s">
        <v>10</v>
      </c>
      <c r="B22" s="1" t="str">
        <f>E22</f>
        <v>Operations</v>
      </c>
      <c r="C22" s="1" t="str">
        <f>F22</f>
        <v xml:space="preserve">Schermerhorn and Birch Funds</v>
      </c>
      <c r="D22" s="6" t="s">
        <v>41</v>
      </c>
      <c r="E22" s="1" t="s">
        <v>12</v>
      </c>
      <c r="F22" s="1" t="s">
        <v>42</v>
      </c>
      <c r="G22" s="1" t="s">
        <v>12</v>
      </c>
      <c r="H22" s="1" t="s">
        <v>42</v>
      </c>
      <c r="I22" s="1" t="s">
        <v>38</v>
      </c>
      <c r="J22" s="1" t="s">
        <v>38</v>
      </c>
      <c r="K22" s="1">
        <f>IF(B22=B21,K21,K21+1)</f>
        <v>9</v>
      </c>
      <c r="L22" s="1"/>
      <c r="M22" s="1"/>
      <c r="N22" s="1"/>
      <c r="O22" s="1"/>
      <c r="P22" s="1"/>
      <c r="R22" s="1"/>
      <c r="S22" s="1"/>
    </row>
    <row r="23">
      <c r="A23" s="1" t="s">
        <v>10</v>
      </c>
      <c r="B23" s="1" t="str">
        <f>E23</f>
        <v>Operations</v>
      </c>
      <c r="C23" s="1" t="str">
        <f>F23</f>
        <v xml:space="preserve">Schermerhorn and Birch Funds</v>
      </c>
      <c r="D23" s="6" t="s">
        <v>43</v>
      </c>
      <c r="E23" s="1" t="s">
        <v>12</v>
      </c>
      <c r="F23" s="1" t="s">
        <v>42</v>
      </c>
      <c r="G23" s="1" t="s">
        <v>12</v>
      </c>
      <c r="H23" s="1" t="s">
        <v>42</v>
      </c>
      <c r="I23" s="1" t="s">
        <v>38</v>
      </c>
      <c r="J23" s="1" t="s">
        <v>38</v>
      </c>
      <c r="K23" s="1">
        <f>IF(B23=B22,K22,K22+1)</f>
        <v>9</v>
      </c>
      <c r="L23" s="1"/>
      <c r="M23" s="1"/>
      <c r="N23" s="1"/>
      <c r="O23" s="1"/>
      <c r="P23" s="1"/>
      <c r="R23" s="1"/>
      <c r="S23" s="1"/>
    </row>
    <row r="24">
      <c r="A24" s="1" t="s">
        <v>10</v>
      </c>
      <c r="B24" s="1" t="str">
        <f>E24</f>
        <v>Mission</v>
      </c>
      <c r="C24" s="1" t="str">
        <f>F24</f>
        <v xml:space="preserve">UP Mission Fund</v>
      </c>
      <c r="D24" s="6" t="s">
        <v>44</v>
      </c>
      <c r="E24" s="1" t="s">
        <v>23</v>
      </c>
      <c r="F24" s="1" t="s">
        <v>45</v>
      </c>
      <c r="G24" s="1" t="s">
        <v>23</v>
      </c>
      <c r="H24" s="1" t="s">
        <v>45</v>
      </c>
      <c r="I24" s="1" t="s">
        <v>38</v>
      </c>
      <c r="J24" s="1" t="s">
        <v>38</v>
      </c>
      <c r="K24" s="1">
        <f>IF(B24=B23,K23,K23+1)</f>
        <v>10</v>
      </c>
      <c r="L24" s="1"/>
      <c r="M24" s="1"/>
      <c r="N24" s="1"/>
      <c r="O24" s="1"/>
      <c r="P24" s="1"/>
      <c r="R24" s="1"/>
      <c r="S24" s="1"/>
    </row>
    <row r="25">
      <c r="A25" s="1" t="s">
        <v>10</v>
      </c>
      <c r="B25" s="1" t="str">
        <f>E25</f>
        <v>Mission</v>
      </c>
      <c r="C25" s="1" t="str">
        <f>F25</f>
        <v xml:space="preserve">UP Mission Fund</v>
      </c>
      <c r="D25" s="7" t="s">
        <v>46</v>
      </c>
      <c r="E25" s="1" t="s">
        <v>23</v>
      </c>
      <c r="F25" s="1" t="s">
        <v>45</v>
      </c>
      <c r="G25" s="1" t="s">
        <v>23</v>
      </c>
      <c r="H25" s="1" t="s">
        <v>45</v>
      </c>
      <c r="I25" s="1" t="s">
        <v>38</v>
      </c>
      <c r="J25" s="1" t="s">
        <v>38</v>
      </c>
      <c r="K25" s="1">
        <f>IF(B25=B24,K24,K24+1)</f>
        <v>10</v>
      </c>
      <c r="L25" s="1"/>
      <c r="M25" s="1"/>
      <c r="N25" s="1"/>
      <c r="O25" s="1"/>
      <c r="P25" s="1"/>
      <c r="R25" s="1"/>
      <c r="S25" s="1"/>
    </row>
    <row r="26">
      <c r="A26" s="1" t="s">
        <v>10</v>
      </c>
      <c r="B26" s="1" t="str">
        <f>E26</f>
        <v xml:space="preserve">Education, Music, &amp; Arts</v>
      </c>
      <c r="C26" s="1" t="str">
        <f>F26</f>
        <v xml:space="preserve">Tercentenary Fund</v>
      </c>
      <c r="D26" s="6" t="s">
        <v>47</v>
      </c>
      <c r="E26" s="1" t="s">
        <v>48</v>
      </c>
      <c r="F26" s="1" t="s">
        <v>49</v>
      </c>
      <c r="G26" s="1" t="s">
        <v>48</v>
      </c>
      <c r="H26" s="1" t="s">
        <v>49</v>
      </c>
      <c r="I26" s="1" t="s">
        <v>38</v>
      </c>
      <c r="J26" s="1" t="s">
        <v>38</v>
      </c>
      <c r="K26" s="1">
        <f>IF(B26=B25,K25,K25+1)</f>
        <v>11</v>
      </c>
      <c r="L26" s="1"/>
      <c r="M26" s="1"/>
      <c r="N26" s="1"/>
      <c r="O26" s="1"/>
      <c r="P26" s="1"/>
      <c r="R26" s="1"/>
      <c r="S26" s="1"/>
    </row>
    <row r="27">
      <c r="A27" s="1" t="s">
        <v>10</v>
      </c>
      <c r="B27" s="1" t="str">
        <f>E27</f>
        <v>Operations</v>
      </c>
      <c r="C27" s="1" t="str">
        <f>F27</f>
        <v xml:space="preserve">Covenant Fund</v>
      </c>
      <c r="D27" s="6" t="s">
        <v>50</v>
      </c>
      <c r="E27" s="1" t="s">
        <v>12</v>
      </c>
      <c r="F27" s="1" t="s">
        <v>51</v>
      </c>
      <c r="G27" s="1" t="s">
        <v>12</v>
      </c>
      <c r="H27" s="1" t="s">
        <v>51</v>
      </c>
      <c r="I27" s="1" t="s">
        <v>52</v>
      </c>
      <c r="J27" s="1" t="s">
        <v>52</v>
      </c>
      <c r="K27" s="1">
        <f>IF(B27=B26,K26,K26+1)</f>
        <v>12</v>
      </c>
      <c r="L27" s="1"/>
      <c r="M27" s="1"/>
      <c r="N27" s="1"/>
      <c r="O27" s="1"/>
      <c r="P27" s="1"/>
      <c r="R27" s="1"/>
      <c r="S27" s="1"/>
    </row>
    <row r="28">
      <c r="A28" s="1" t="s">
        <v>10</v>
      </c>
      <c r="B28" s="1" t="str">
        <f>E28</f>
        <v>Mission</v>
      </c>
      <c r="C28" s="1" t="str">
        <f>F28</f>
        <v xml:space="preserve">Covenant Fund</v>
      </c>
      <c r="D28" s="1" t="s">
        <v>53</v>
      </c>
      <c r="E28" s="1" t="s">
        <v>23</v>
      </c>
      <c r="F28" s="1" t="s">
        <v>51</v>
      </c>
      <c r="G28" s="1" t="s">
        <v>23</v>
      </c>
      <c r="H28" s="1" t="s">
        <v>51</v>
      </c>
      <c r="I28" s="1" t="s">
        <v>52</v>
      </c>
      <c r="J28" s="1" t="s">
        <v>52</v>
      </c>
      <c r="K28" s="1">
        <f>IF(B28=B27,K27,K27+1)</f>
        <v>13</v>
      </c>
      <c r="L28" s="1"/>
      <c r="M28" s="1"/>
      <c r="N28" s="1"/>
      <c r="O28" s="1"/>
      <c r="P28" s="1"/>
      <c r="R28" s="1"/>
      <c r="S28" s="1"/>
    </row>
    <row r="29">
      <c r="A29" s="1" t="s">
        <v>10</v>
      </c>
      <c r="B29" s="1" t="str">
        <f>E29</f>
        <v>Mission</v>
      </c>
      <c r="C29" s="1" t="str">
        <f>F29</f>
        <v xml:space="preserve">Covenant Fund</v>
      </c>
      <c r="D29" s="6" t="s">
        <v>54</v>
      </c>
      <c r="E29" s="1" t="s">
        <v>23</v>
      </c>
      <c r="F29" s="1" t="s">
        <v>51</v>
      </c>
      <c r="G29" s="1" t="s">
        <v>23</v>
      </c>
      <c r="H29" s="1" t="s">
        <v>51</v>
      </c>
      <c r="I29" s="1" t="s">
        <v>52</v>
      </c>
      <c r="J29" s="1" t="s">
        <v>52</v>
      </c>
      <c r="K29" s="1">
        <f>IF(B29=B28,K28,K28+1)</f>
        <v>13</v>
      </c>
      <c r="L29" s="1"/>
      <c r="M29" s="1"/>
      <c r="N29" s="1"/>
      <c r="O29" s="1"/>
      <c r="P29" s="1"/>
      <c r="R29" s="1"/>
      <c r="S29" s="1"/>
    </row>
    <row r="30">
      <c r="A30" s="1" t="s">
        <v>10</v>
      </c>
      <c r="B30" s="1" t="str">
        <f>E30</f>
        <v>Operations</v>
      </c>
      <c r="C30" s="1" t="str">
        <f>F30</f>
        <v xml:space="preserve">Other income</v>
      </c>
      <c r="D30" s="1" t="s">
        <v>55</v>
      </c>
      <c r="E30" s="1" t="s">
        <v>12</v>
      </c>
      <c r="F30" s="1" t="s">
        <v>56</v>
      </c>
      <c r="G30" s="1" t="s">
        <v>12</v>
      </c>
      <c r="H30" s="1" t="s">
        <v>56</v>
      </c>
      <c r="I30" s="1" t="s">
        <v>57</v>
      </c>
      <c r="J30" s="1" t="s">
        <v>57</v>
      </c>
      <c r="K30" s="1">
        <f>IF(B30=B29,K29,K29+1)</f>
        <v>14</v>
      </c>
      <c r="L30" s="1"/>
      <c r="M30" s="1"/>
      <c r="N30" s="1"/>
      <c r="O30" s="1"/>
      <c r="P30" s="1"/>
      <c r="R30" s="1"/>
      <c r="S30" s="1"/>
    </row>
    <row r="31">
      <c r="A31" s="1" t="s">
        <v>10</v>
      </c>
      <c r="B31" s="1" t="str">
        <f>E31</f>
        <v>Operations</v>
      </c>
      <c r="C31" s="1" t="str">
        <f>F31</f>
        <v xml:space="preserve">Other income</v>
      </c>
      <c r="D31" s="1" t="s">
        <v>58</v>
      </c>
      <c r="E31" s="1" t="s">
        <v>12</v>
      </c>
      <c r="F31" s="1" t="s">
        <v>56</v>
      </c>
      <c r="G31" s="1" t="s">
        <v>12</v>
      </c>
      <c r="H31" s="1" t="s">
        <v>56</v>
      </c>
      <c r="I31" s="1" t="s">
        <v>57</v>
      </c>
      <c r="J31" s="1" t="s">
        <v>57</v>
      </c>
      <c r="K31" s="1">
        <f>IF(B31=B30,K30,K30+1)</f>
        <v>14</v>
      </c>
      <c r="L31" s="1"/>
      <c r="M31" s="1"/>
      <c r="N31" s="1"/>
      <c r="O31" s="1"/>
      <c r="P31" s="1"/>
      <c r="R31" s="1"/>
      <c r="S31" s="1"/>
    </row>
    <row r="32">
      <c r="A32" s="1" t="s">
        <v>10</v>
      </c>
      <c r="B32" s="1" t="str">
        <f>E32</f>
        <v>Operations</v>
      </c>
      <c r="C32" s="1" t="str">
        <f>F32</f>
        <v xml:space="preserve">Other income</v>
      </c>
      <c r="D32" s="1" t="s">
        <v>59</v>
      </c>
      <c r="E32" s="1" t="s">
        <v>12</v>
      </c>
      <c r="F32" s="1" t="s">
        <v>56</v>
      </c>
      <c r="G32" s="1" t="s">
        <v>12</v>
      </c>
      <c r="H32" s="1" t="s">
        <v>56</v>
      </c>
      <c r="I32" s="1" t="s">
        <v>57</v>
      </c>
      <c r="J32" s="1" t="s">
        <v>57</v>
      </c>
      <c r="K32" s="1">
        <f>IF(B32=B31,K31,K31+1)</f>
        <v>14</v>
      </c>
      <c r="L32" s="1"/>
      <c r="M32" s="1"/>
      <c r="N32" s="1"/>
      <c r="O32" s="1"/>
      <c r="P32" s="1"/>
      <c r="R32" s="1"/>
      <c r="S32" s="1"/>
    </row>
    <row r="33">
      <c r="A33" s="1" t="s">
        <v>10</v>
      </c>
      <c r="B33" s="1" t="str">
        <f>E33</f>
        <v>Operations</v>
      </c>
      <c r="C33" s="1" t="str">
        <f>F33</f>
        <v xml:space="preserve">Other income</v>
      </c>
      <c r="D33" t="s">
        <v>60</v>
      </c>
      <c r="E33" s="1" t="s">
        <v>12</v>
      </c>
      <c r="F33" s="1" t="s">
        <v>56</v>
      </c>
      <c r="G33" s="1" t="s">
        <v>12</v>
      </c>
      <c r="H33" s="1" t="s">
        <v>56</v>
      </c>
      <c r="I33" s="1" t="s">
        <v>57</v>
      </c>
      <c r="J33" s="1" t="s">
        <v>57</v>
      </c>
      <c r="K33" s="1">
        <f>IF(B33=B32,K32,K32+1)</f>
        <v>14</v>
      </c>
      <c r="L33" s="1"/>
      <c r="M33" s="1"/>
      <c r="N33" s="1"/>
      <c r="O33" s="1"/>
      <c r="P33" s="1"/>
      <c r="R33" s="1"/>
      <c r="S33" s="1"/>
    </row>
    <row r="34">
      <c r="A34" s="1" t="s">
        <v>10</v>
      </c>
      <c r="B34" s="1" t="str">
        <f>E34</f>
        <v>Operations</v>
      </c>
      <c r="C34" s="1" t="str">
        <f>F34</f>
        <v xml:space="preserve">Other income</v>
      </c>
      <c r="D34" s="1" t="s">
        <v>61</v>
      </c>
      <c r="E34" s="1" t="s">
        <v>12</v>
      </c>
      <c r="F34" s="1" t="s">
        <v>56</v>
      </c>
      <c r="G34" s="1" t="s">
        <v>12</v>
      </c>
      <c r="H34" s="1" t="s">
        <v>56</v>
      </c>
      <c r="I34" s="1" t="s">
        <v>57</v>
      </c>
      <c r="J34" s="1" t="s">
        <v>57</v>
      </c>
      <c r="K34" s="1">
        <f>IF(B34=B33,K33,K33+1)</f>
        <v>14</v>
      </c>
      <c r="L34" s="1"/>
      <c r="M34" s="1"/>
      <c r="N34" s="1"/>
      <c r="O34" s="1"/>
      <c r="P34" s="1"/>
      <c r="R34" s="1"/>
      <c r="S34" s="1"/>
    </row>
    <row r="35">
      <c r="A35" s="1" t="s">
        <v>10</v>
      </c>
      <c r="B35" s="1" t="str">
        <f>E35</f>
        <v>Operations</v>
      </c>
      <c r="C35" s="1" t="str">
        <f>F35</f>
        <v xml:space="preserve">Other income</v>
      </c>
      <c r="D35" t="s">
        <v>62</v>
      </c>
      <c r="E35" s="1" t="s">
        <v>12</v>
      </c>
      <c r="F35" s="1" t="s">
        <v>56</v>
      </c>
      <c r="G35" s="1" t="s">
        <v>12</v>
      </c>
      <c r="H35" s="1" t="s">
        <v>56</v>
      </c>
      <c r="I35" s="1" t="s">
        <v>57</v>
      </c>
      <c r="J35" s="1" t="s">
        <v>57</v>
      </c>
      <c r="K35" s="1">
        <f>IF(B35=B34,K34,K34+1)</f>
        <v>14</v>
      </c>
      <c r="L35" s="1"/>
      <c r="M35" s="1"/>
      <c r="N35" s="1"/>
      <c r="O35" s="1"/>
      <c r="P35" s="1"/>
      <c r="R35" s="1"/>
      <c r="S35" s="1"/>
    </row>
    <row r="36">
      <c r="A36" s="1" t="s">
        <v>10</v>
      </c>
      <c r="B36" s="1" t="str">
        <f>E36</f>
        <v>Operations</v>
      </c>
      <c r="C36" s="1" t="str">
        <f>F36</f>
        <v>Checking</v>
      </c>
      <c r="D36" s="8" t="s">
        <v>63</v>
      </c>
      <c r="E36" s="1" t="s">
        <v>12</v>
      </c>
      <c r="F36" s="1" t="s">
        <v>37</v>
      </c>
      <c r="G36" s="1" t="s">
        <v>12</v>
      </c>
      <c r="H36" s="1" t="s">
        <v>37</v>
      </c>
      <c r="I36" s="1" t="s">
        <v>57</v>
      </c>
      <c r="J36" s="1" t="s">
        <v>64</v>
      </c>
      <c r="K36" s="1">
        <f>IF(B36=B35,K35,K35+1)</f>
        <v>14</v>
      </c>
      <c r="L36" s="1"/>
      <c r="M36" s="1"/>
      <c r="N36" s="1"/>
      <c r="O36" s="1"/>
      <c r="P36" s="1"/>
      <c r="Q36" s="1"/>
      <c r="R36" s="1"/>
      <c r="S36" s="1"/>
    </row>
    <row r="37">
      <c r="A37" s="1" t="s">
        <v>65</v>
      </c>
      <c r="B37" s="1" t="str">
        <f>E37</f>
        <v>Personnel</v>
      </c>
      <c r="C37" s="1" t="str">
        <f>F37</f>
        <v xml:space="preserve">Sr. Pastor</v>
      </c>
      <c r="D37" s="1" t="s">
        <v>66</v>
      </c>
      <c r="E37" s="1" t="s">
        <v>67</v>
      </c>
      <c r="F37" s="1" t="s">
        <v>68</v>
      </c>
      <c r="G37" s="1" t="s">
        <v>67</v>
      </c>
      <c r="H37" s="1" t="s">
        <v>68</v>
      </c>
      <c r="I37" s="1" t="s">
        <v>69</v>
      </c>
      <c r="J37" s="1" t="s">
        <v>70</v>
      </c>
      <c r="K37" s="1">
        <f>IF(B37=B36,K36,K36+1)</f>
        <v>15</v>
      </c>
      <c r="L37" s="1"/>
      <c r="M37" s="1"/>
      <c r="N37" s="1"/>
      <c r="O37" s="1"/>
      <c r="P37" s="1"/>
      <c r="Q37" s="1"/>
      <c r="R37" s="1"/>
      <c r="S37" s="1"/>
    </row>
    <row r="38">
      <c r="A38" s="1" t="s">
        <v>65</v>
      </c>
      <c r="B38" s="1" t="str">
        <f>E38</f>
        <v>Personnel</v>
      </c>
      <c r="C38" s="1" t="str">
        <f>F38</f>
        <v xml:space="preserve">Sr. Pastor</v>
      </c>
      <c r="D38" s="1" t="s">
        <v>71</v>
      </c>
      <c r="E38" s="1" t="s">
        <v>67</v>
      </c>
      <c r="F38" s="1" t="s">
        <v>68</v>
      </c>
      <c r="G38" s="1" t="s">
        <v>67</v>
      </c>
      <c r="H38" s="1" t="s">
        <v>68</v>
      </c>
      <c r="I38" s="1" t="s">
        <v>69</v>
      </c>
      <c r="J38" s="1" t="s">
        <v>70</v>
      </c>
      <c r="K38" s="1">
        <f>IF(B38=B37,K37,K37+1)</f>
        <v>15</v>
      </c>
      <c r="L38" s="1"/>
      <c r="M38" s="1"/>
      <c r="N38" s="1"/>
      <c r="O38" s="1"/>
      <c r="P38" s="1"/>
      <c r="R38" s="1"/>
      <c r="S38" s="1"/>
    </row>
    <row r="39">
      <c r="A39" s="1" t="s">
        <v>65</v>
      </c>
      <c r="B39" s="1" t="str">
        <f>E39</f>
        <v>Personnel</v>
      </c>
      <c r="C39" s="1" t="str">
        <f>F39</f>
        <v xml:space="preserve">Sr. Pastor</v>
      </c>
      <c r="D39" s="1" t="s">
        <v>72</v>
      </c>
      <c r="E39" s="1" t="s">
        <v>67</v>
      </c>
      <c r="F39" s="1" t="s">
        <v>68</v>
      </c>
      <c r="G39" s="1" t="s">
        <v>67</v>
      </c>
      <c r="H39" s="1" t="s">
        <v>68</v>
      </c>
      <c r="I39" s="1" t="s">
        <v>69</v>
      </c>
      <c r="J39" s="1" t="s">
        <v>70</v>
      </c>
      <c r="K39" s="1">
        <f>IF(B39=B38,K38,K38+1)</f>
        <v>15</v>
      </c>
      <c r="L39" s="1"/>
      <c r="M39" s="1"/>
      <c r="N39" s="1"/>
      <c r="O39" s="1"/>
      <c r="P39" s="1"/>
      <c r="R39" s="1"/>
      <c r="S39" s="1"/>
    </row>
    <row r="40">
      <c r="A40" s="1" t="s">
        <v>65</v>
      </c>
      <c r="B40" s="1" t="str">
        <f>E40</f>
        <v>Personnel</v>
      </c>
      <c r="C40" s="1" t="str">
        <f>F40</f>
        <v xml:space="preserve">Sr. Pastor</v>
      </c>
      <c r="D40" s="1" t="s">
        <v>73</v>
      </c>
      <c r="E40" s="1" t="s">
        <v>67</v>
      </c>
      <c r="F40" s="1" t="s">
        <v>68</v>
      </c>
      <c r="G40" s="1" t="s">
        <v>67</v>
      </c>
      <c r="H40" s="1" t="s">
        <v>68</v>
      </c>
      <c r="I40" s="1" t="s">
        <v>69</v>
      </c>
      <c r="J40" s="1" t="s">
        <v>70</v>
      </c>
      <c r="K40" s="1">
        <f>IF(B40=B39,K39,K39+1)</f>
        <v>15</v>
      </c>
      <c r="L40" s="1"/>
      <c r="M40" s="1"/>
      <c r="N40" s="1"/>
      <c r="O40" s="1"/>
      <c r="P40" s="1"/>
      <c r="R40" s="1"/>
      <c r="S40" s="1"/>
    </row>
    <row r="41">
      <c r="A41" s="1" t="s">
        <v>65</v>
      </c>
      <c r="B41" s="1" t="str">
        <f>E41</f>
        <v>Personnel</v>
      </c>
      <c r="C41" s="1" t="str">
        <f>F41</f>
        <v xml:space="preserve">Sr. Pastor</v>
      </c>
      <c r="D41" s="1" t="s">
        <v>74</v>
      </c>
      <c r="E41" s="1" t="s">
        <v>67</v>
      </c>
      <c r="F41" s="1" t="s">
        <v>68</v>
      </c>
      <c r="G41" s="1" t="s">
        <v>67</v>
      </c>
      <c r="H41" s="1" t="s">
        <v>68</v>
      </c>
      <c r="I41" s="1" t="s">
        <v>69</v>
      </c>
      <c r="J41" s="1" t="s">
        <v>70</v>
      </c>
      <c r="K41" s="1">
        <f>IF(B41=B40,K40,K40+1)</f>
        <v>15</v>
      </c>
      <c r="L41" s="1"/>
      <c r="M41" s="1"/>
      <c r="N41" s="1"/>
      <c r="O41" s="1"/>
      <c r="P41" s="1"/>
      <c r="R41" s="1"/>
      <c r="S41" s="1"/>
    </row>
    <row r="42">
      <c r="A42" s="1" t="s">
        <v>65</v>
      </c>
      <c r="B42" s="1" t="str">
        <f>E42</f>
        <v>Personnel</v>
      </c>
      <c r="C42" s="1" t="str">
        <f>F42</f>
        <v xml:space="preserve">Sr. Pastor</v>
      </c>
      <c r="D42" s="1" t="s">
        <v>75</v>
      </c>
      <c r="E42" s="1" t="s">
        <v>67</v>
      </c>
      <c r="F42" s="1" t="s">
        <v>68</v>
      </c>
      <c r="G42" s="1" t="s">
        <v>67</v>
      </c>
      <c r="H42" s="1" t="s">
        <v>68</v>
      </c>
      <c r="I42" s="1" t="s">
        <v>69</v>
      </c>
      <c r="J42" s="1" t="s">
        <v>70</v>
      </c>
      <c r="K42" s="1">
        <f>IF(B42=B41,K41,K41+1)</f>
        <v>15</v>
      </c>
      <c r="L42" s="1"/>
      <c r="M42" s="1"/>
      <c r="N42" s="1"/>
      <c r="O42" s="1"/>
      <c r="P42" s="1"/>
      <c r="R42" s="1"/>
      <c r="S42" s="1"/>
    </row>
    <row r="43">
      <c r="A43" s="1" t="s">
        <v>65</v>
      </c>
      <c r="B43" s="1" t="str">
        <f>E43</f>
        <v xml:space="preserve">Education, Music, &amp; Arts</v>
      </c>
      <c r="C43" s="1" t="str">
        <f>F43</f>
        <v xml:space="preserve">Personnel - Education</v>
      </c>
      <c r="D43" s="1" t="s">
        <v>76</v>
      </c>
      <c r="E43" s="1" t="s">
        <v>48</v>
      </c>
      <c r="F43" s="1" t="s">
        <v>77</v>
      </c>
      <c r="G43" s="1" t="s">
        <v>48</v>
      </c>
      <c r="H43" s="1" t="s">
        <v>77</v>
      </c>
      <c r="I43" s="1" t="s">
        <v>69</v>
      </c>
      <c r="J43" s="1" t="s">
        <v>70</v>
      </c>
      <c r="K43" s="1">
        <f>IF(B43=B42,K42,K42+1)</f>
        <v>16</v>
      </c>
      <c r="L43" s="1"/>
      <c r="M43" s="1"/>
      <c r="N43" s="1"/>
      <c r="O43" s="1"/>
      <c r="P43" s="1"/>
      <c r="R43" s="1"/>
      <c r="S43" s="1"/>
    </row>
    <row r="44">
      <c r="A44" s="1" t="s">
        <v>65</v>
      </c>
      <c r="B44" s="1" t="str">
        <f>E44</f>
        <v>Personnel</v>
      </c>
      <c r="C44" s="1" t="str">
        <f>F44</f>
        <v xml:space="preserve">Sr. Pastor</v>
      </c>
      <c r="D44" s="1" t="s">
        <v>78</v>
      </c>
      <c r="E44" s="1" t="s">
        <v>67</v>
      </c>
      <c r="F44" s="1" t="s">
        <v>68</v>
      </c>
      <c r="G44" s="1" t="s">
        <v>67</v>
      </c>
      <c r="H44" s="1" t="s">
        <v>68</v>
      </c>
      <c r="I44" s="1" t="s">
        <v>69</v>
      </c>
      <c r="J44" s="1" t="s">
        <v>70</v>
      </c>
      <c r="K44" s="1">
        <f>IF(B44=B43,K43,K43+1)</f>
        <v>17</v>
      </c>
      <c r="L44" s="1"/>
      <c r="M44" s="1"/>
      <c r="N44" s="1"/>
      <c r="O44" s="1"/>
      <c r="P44" s="1"/>
      <c r="R44" s="1"/>
      <c r="S44" s="1"/>
    </row>
    <row r="45">
      <c r="A45" s="1" t="s">
        <v>65</v>
      </c>
      <c r="B45" s="1" t="str">
        <f>E45</f>
        <v>Personnel</v>
      </c>
      <c r="C45" s="1" t="str">
        <f>F45</f>
        <v xml:space="preserve">Pastoral Search</v>
      </c>
      <c r="D45" t="s">
        <v>79</v>
      </c>
      <c r="E45" s="1" t="s">
        <v>67</v>
      </c>
      <c r="F45" s="1" t="s">
        <v>80</v>
      </c>
      <c r="G45" s="1" t="s">
        <v>67</v>
      </c>
      <c r="H45" s="1" t="s">
        <v>80</v>
      </c>
      <c r="I45" s="1" t="s">
        <v>69</v>
      </c>
      <c r="J45" s="1" t="s">
        <v>81</v>
      </c>
      <c r="K45" s="1">
        <f>IF(B45=B44,K44,K44+1)</f>
        <v>17</v>
      </c>
      <c r="L45" s="1"/>
      <c r="M45" s="1"/>
      <c r="N45" s="1"/>
      <c r="O45" s="1"/>
      <c r="P45" s="1"/>
      <c r="R45" s="1"/>
      <c r="S45" s="1"/>
    </row>
    <row r="46">
      <c r="A46" s="1" t="s">
        <v>65</v>
      </c>
      <c r="B46" s="1" t="str">
        <f>E46</f>
        <v>Operations</v>
      </c>
      <c r="C46" s="1" t="str">
        <f>F46</f>
        <v>Music</v>
      </c>
      <c r="D46" s="1" t="s">
        <v>82</v>
      </c>
      <c r="E46" s="1" t="s">
        <v>12</v>
      </c>
      <c r="F46" s="1" t="s">
        <v>83</v>
      </c>
      <c r="G46" s="5" t="s">
        <v>67</v>
      </c>
      <c r="H46" s="1" t="s">
        <v>83</v>
      </c>
      <c r="I46" s="1" t="s">
        <v>69</v>
      </c>
      <c r="J46" s="1" t="s">
        <v>84</v>
      </c>
      <c r="K46" s="1">
        <f>IF(B46=B45,K45,K45+1)</f>
        <v>18</v>
      </c>
      <c r="L46" s="1"/>
      <c r="M46" s="1"/>
      <c r="N46" s="1"/>
      <c r="O46" s="1"/>
      <c r="P46" s="1"/>
      <c r="R46" s="1"/>
      <c r="S46" s="1"/>
    </row>
    <row r="47">
      <c r="A47" s="1" t="s">
        <v>65</v>
      </c>
      <c r="B47" s="1" t="str">
        <f>E47</f>
        <v>Operations</v>
      </c>
      <c r="C47" s="1" t="str">
        <f>F47</f>
        <v>Music</v>
      </c>
      <c r="D47" s="1" t="s">
        <v>85</v>
      </c>
      <c r="E47" s="1" t="s">
        <v>12</v>
      </c>
      <c r="F47" s="1" t="s">
        <v>83</v>
      </c>
      <c r="G47" s="5" t="s">
        <v>67</v>
      </c>
      <c r="H47" s="1" t="s">
        <v>83</v>
      </c>
      <c r="I47" s="1" t="s">
        <v>69</v>
      </c>
      <c r="J47" s="1" t="s">
        <v>84</v>
      </c>
      <c r="K47" s="1">
        <f>IF(B47=B46,K46,K46+1)</f>
        <v>18</v>
      </c>
      <c r="L47" s="1"/>
      <c r="M47" s="1"/>
      <c r="N47" s="1"/>
      <c r="O47" s="1"/>
      <c r="P47" s="1"/>
      <c r="R47" s="1"/>
      <c r="S47" s="1"/>
    </row>
    <row r="48">
      <c r="A48" s="1" t="s">
        <v>65</v>
      </c>
      <c r="B48" s="1" t="str">
        <f>E48</f>
        <v>Operations</v>
      </c>
      <c r="C48" s="1" t="str">
        <f>F48</f>
        <v xml:space="preserve">Worship &amp; Arts</v>
      </c>
      <c r="D48" s="1" t="s">
        <v>86</v>
      </c>
      <c r="E48" s="1" t="s">
        <v>12</v>
      </c>
      <c r="F48" s="1" t="s">
        <v>87</v>
      </c>
      <c r="G48" s="1" t="s">
        <v>12</v>
      </c>
      <c r="H48" s="1" t="s">
        <v>88</v>
      </c>
      <c r="I48" s="1" t="s">
        <v>69</v>
      </c>
      <c r="J48" s="1" t="s">
        <v>81</v>
      </c>
      <c r="K48" s="1">
        <f>IF(B48=B47,K47,K47+1)</f>
        <v>18</v>
      </c>
      <c r="L48" s="1"/>
      <c r="M48" s="1"/>
      <c r="N48" s="1"/>
      <c r="O48" s="1"/>
      <c r="P48" s="1"/>
      <c r="R48" s="1"/>
      <c r="S48" s="1"/>
    </row>
    <row r="49">
      <c r="A49" s="1" t="s">
        <v>65</v>
      </c>
      <c r="B49" s="1" t="str">
        <f>E49</f>
        <v>Operations</v>
      </c>
      <c r="C49" s="1" t="str">
        <f>F49</f>
        <v xml:space="preserve">Worship &amp; Arts</v>
      </c>
      <c r="D49" s="1" t="s">
        <v>89</v>
      </c>
      <c r="E49" s="1" t="s">
        <v>12</v>
      </c>
      <c r="F49" s="1" t="s">
        <v>87</v>
      </c>
      <c r="G49" s="1" t="s">
        <v>12</v>
      </c>
      <c r="H49" s="1" t="s">
        <v>88</v>
      </c>
      <c r="I49" s="1" t="s">
        <v>69</v>
      </c>
      <c r="J49" s="1" t="s">
        <v>81</v>
      </c>
      <c r="K49" s="1">
        <f>IF(B49=B48,K48,K48+1)</f>
        <v>18</v>
      </c>
      <c r="L49" s="1"/>
      <c r="M49" s="1"/>
      <c r="N49" s="1"/>
      <c r="O49" s="1"/>
      <c r="P49" s="1"/>
      <c r="R49" s="1"/>
      <c r="S49" s="1"/>
    </row>
    <row r="50">
      <c r="A50" s="1" t="s">
        <v>65</v>
      </c>
      <c r="B50" s="1" t="str">
        <f>E50</f>
        <v>Operations</v>
      </c>
      <c r="C50" s="1" t="str">
        <f>F50</f>
        <v xml:space="preserve">Worship &amp; Arts</v>
      </c>
      <c r="D50" s="1" t="s">
        <v>90</v>
      </c>
      <c r="E50" s="1" t="s">
        <v>12</v>
      </c>
      <c r="F50" s="1" t="s">
        <v>87</v>
      </c>
      <c r="G50" s="1" t="s">
        <v>12</v>
      </c>
      <c r="H50" s="1" t="s">
        <v>88</v>
      </c>
      <c r="I50" s="1" t="s">
        <v>69</v>
      </c>
      <c r="J50" s="1" t="s">
        <v>81</v>
      </c>
      <c r="K50" s="1">
        <f>IF(B50=B49,K49,K49+1)</f>
        <v>18</v>
      </c>
      <c r="L50" s="1"/>
      <c r="M50" s="1"/>
      <c r="N50" s="1"/>
      <c r="O50" s="1"/>
      <c r="P50" s="1"/>
      <c r="R50" s="1"/>
      <c r="S50" s="1"/>
    </row>
    <row r="51">
      <c r="A51" s="1" t="s">
        <v>65</v>
      </c>
      <c r="B51" s="1" t="str">
        <f>E51</f>
        <v xml:space="preserve">Education, Music, &amp; Arts</v>
      </c>
      <c r="C51" s="1" t="str">
        <f>F51</f>
        <v xml:space="preserve">Worship &amp; Arts</v>
      </c>
      <c r="D51" s="1" t="s">
        <v>91</v>
      </c>
      <c r="E51" s="1" t="s">
        <v>48</v>
      </c>
      <c r="F51" s="1" t="s">
        <v>87</v>
      </c>
      <c r="G51" s="1" t="s">
        <v>48</v>
      </c>
      <c r="H51" s="1" t="s">
        <v>92</v>
      </c>
      <c r="I51" s="1" t="s">
        <v>69</v>
      </c>
      <c r="J51" s="1" t="s">
        <v>81</v>
      </c>
      <c r="K51" s="1">
        <f>IF(B51=B50,K50,K50+1)</f>
        <v>19</v>
      </c>
      <c r="L51" s="1"/>
      <c r="M51" s="1"/>
      <c r="N51" s="1"/>
      <c r="O51" s="1"/>
      <c r="P51" s="1"/>
      <c r="R51" s="1"/>
      <c r="S51" s="1"/>
    </row>
    <row r="52">
      <c r="A52" s="1" t="s">
        <v>65</v>
      </c>
      <c r="B52" s="1" t="str">
        <f>E52</f>
        <v xml:space="preserve">Education, Music, &amp; Arts</v>
      </c>
      <c r="C52" s="1" t="str">
        <f>F52</f>
        <v xml:space="preserve">Worship &amp; Arts</v>
      </c>
      <c r="D52" s="1" t="s">
        <v>93</v>
      </c>
      <c r="E52" s="1" t="s">
        <v>48</v>
      </c>
      <c r="F52" s="1" t="s">
        <v>87</v>
      </c>
      <c r="G52" s="1" t="s">
        <v>48</v>
      </c>
      <c r="H52" s="1" t="s">
        <v>92</v>
      </c>
      <c r="I52" s="1" t="s">
        <v>69</v>
      </c>
      <c r="J52" s="1" t="s">
        <v>81</v>
      </c>
      <c r="K52" s="1">
        <f>IF(B52=B51,K51,K51+1)</f>
        <v>19</v>
      </c>
      <c r="L52" s="1"/>
      <c r="M52" s="1"/>
      <c r="N52" s="1"/>
      <c r="O52" s="1"/>
      <c r="P52" s="1"/>
      <c r="R52" s="1"/>
      <c r="S52" s="1"/>
    </row>
    <row r="53">
      <c r="A53" s="1" t="s">
        <v>65</v>
      </c>
      <c r="B53" s="1" t="str">
        <f>E53</f>
        <v xml:space="preserve">Education, Music, &amp; Arts</v>
      </c>
      <c r="C53" s="1" t="str">
        <f>F53</f>
        <v xml:space="preserve">Worship &amp; Arts</v>
      </c>
      <c r="D53" s="1" t="s">
        <v>94</v>
      </c>
      <c r="E53" s="1" t="s">
        <v>48</v>
      </c>
      <c r="F53" s="1" t="s">
        <v>87</v>
      </c>
      <c r="G53" s="1" t="s">
        <v>48</v>
      </c>
      <c r="H53" s="1" t="s">
        <v>92</v>
      </c>
      <c r="I53" s="1" t="s">
        <v>69</v>
      </c>
      <c r="J53" s="1" t="s">
        <v>81</v>
      </c>
      <c r="K53" s="1">
        <f>IF(B53=B52,K52,K52+1)</f>
        <v>19</v>
      </c>
      <c r="L53" s="1"/>
      <c r="M53" s="1"/>
      <c r="N53" s="1"/>
      <c r="O53" s="1"/>
      <c r="P53" s="1"/>
      <c r="R53" s="1"/>
      <c r="S53" s="1"/>
    </row>
    <row r="54">
      <c r="A54" s="1" t="s">
        <v>65</v>
      </c>
      <c r="B54" s="1" t="str">
        <f>E54</f>
        <v>Operations</v>
      </c>
      <c r="C54" s="1" t="str">
        <f>F54</f>
        <v xml:space="preserve">Worship &amp; Arts</v>
      </c>
      <c r="D54" s="1" t="s">
        <v>95</v>
      </c>
      <c r="E54" s="1" t="s">
        <v>12</v>
      </c>
      <c r="F54" s="1" t="s">
        <v>87</v>
      </c>
      <c r="G54" s="1" t="s">
        <v>12</v>
      </c>
      <c r="H54" s="1" t="s">
        <v>88</v>
      </c>
      <c r="I54" s="1" t="s">
        <v>69</v>
      </c>
      <c r="J54" s="1" t="s">
        <v>81</v>
      </c>
      <c r="K54" s="1">
        <f>IF(B54=B53,K53,K53+1)</f>
        <v>20</v>
      </c>
      <c r="L54" s="1"/>
      <c r="M54" s="1"/>
      <c r="N54" s="1"/>
      <c r="O54" s="1"/>
      <c r="P54" s="1"/>
      <c r="R54" s="1"/>
      <c r="S54" s="1"/>
    </row>
    <row r="55">
      <c r="A55" s="1" t="s">
        <v>65</v>
      </c>
      <c r="B55" s="1" t="str">
        <f>E55</f>
        <v xml:space="preserve">Education, Music, &amp; Arts</v>
      </c>
      <c r="C55" s="1" t="str">
        <f>F55</f>
        <v xml:space="preserve">Worship &amp; Arts</v>
      </c>
      <c r="D55" s="1" t="s">
        <v>96</v>
      </c>
      <c r="E55" s="1" t="s">
        <v>48</v>
      </c>
      <c r="F55" s="1" t="s">
        <v>87</v>
      </c>
      <c r="G55" s="1" t="s">
        <v>48</v>
      </c>
      <c r="H55" s="1" t="s">
        <v>92</v>
      </c>
      <c r="I55" s="1" t="s">
        <v>69</v>
      </c>
      <c r="J55" s="1" t="s">
        <v>81</v>
      </c>
      <c r="K55" s="1">
        <f>IF(B55=B54,K54,K54+1)</f>
        <v>21</v>
      </c>
      <c r="L55" s="1"/>
      <c r="M55" s="1"/>
      <c r="N55" s="1"/>
      <c r="O55" s="1"/>
      <c r="P55" s="1"/>
      <c r="R55" s="1"/>
      <c r="S55" s="1"/>
    </row>
    <row r="56">
      <c r="A56" s="1" t="s">
        <v>65</v>
      </c>
      <c r="B56" s="1" t="str">
        <f>E56</f>
        <v>Operations</v>
      </c>
      <c r="C56" s="1" t="str">
        <f>F56</f>
        <v xml:space="preserve">Worship &amp; Arts</v>
      </c>
      <c r="D56" s="1" t="s">
        <v>97</v>
      </c>
      <c r="E56" s="1" t="s">
        <v>12</v>
      </c>
      <c r="F56" s="1" t="s">
        <v>87</v>
      </c>
      <c r="G56" s="1" t="s">
        <v>12</v>
      </c>
      <c r="H56" s="1" t="s">
        <v>88</v>
      </c>
      <c r="I56" s="1" t="s">
        <v>69</v>
      </c>
      <c r="J56" s="1" t="s">
        <v>81</v>
      </c>
      <c r="K56" s="1">
        <f>IF(B56=B55,K55,K55+1)</f>
        <v>22</v>
      </c>
      <c r="L56" s="1"/>
      <c r="M56" s="1"/>
      <c r="N56" s="1"/>
      <c r="O56" s="1"/>
      <c r="P56" s="1"/>
      <c r="R56" s="1"/>
      <c r="S56" s="1"/>
    </row>
    <row r="57">
      <c r="A57" s="1" t="s">
        <v>65</v>
      </c>
      <c r="B57" s="1" t="str">
        <f>E57</f>
        <v>Operations</v>
      </c>
      <c r="C57" s="1" t="str">
        <f>F57</f>
        <v xml:space="preserve">Worship &amp; Arts</v>
      </c>
      <c r="D57" s="1" t="s">
        <v>98</v>
      </c>
      <c r="E57" s="1" t="s">
        <v>12</v>
      </c>
      <c r="F57" s="1" t="s">
        <v>87</v>
      </c>
      <c r="G57" s="1" t="s">
        <v>12</v>
      </c>
      <c r="H57" s="1" t="s">
        <v>88</v>
      </c>
      <c r="I57" s="1" t="s">
        <v>69</v>
      </c>
      <c r="J57" s="1" t="s">
        <v>81</v>
      </c>
      <c r="K57" s="1">
        <f>IF(B57=B56,K56,K56+1)</f>
        <v>22</v>
      </c>
      <c r="L57" s="1"/>
      <c r="M57" s="1"/>
      <c r="N57" s="1"/>
      <c r="O57" s="1"/>
      <c r="P57" s="1"/>
      <c r="R57" s="1"/>
      <c r="S57" s="1"/>
    </row>
    <row r="58">
      <c r="A58" s="1" t="s">
        <v>65</v>
      </c>
      <c r="B58" s="1" t="str">
        <f>E58</f>
        <v xml:space="preserve">Education, Music, &amp; Arts</v>
      </c>
      <c r="C58" s="1" t="str">
        <f>F58</f>
        <v xml:space="preserve">Worship &amp; Arts</v>
      </c>
      <c r="D58" s="1" t="s">
        <v>99</v>
      </c>
      <c r="E58" s="1" t="s">
        <v>48</v>
      </c>
      <c r="F58" s="1" t="s">
        <v>87</v>
      </c>
      <c r="G58" s="1" t="s">
        <v>48</v>
      </c>
      <c r="H58" s="1" t="s">
        <v>92</v>
      </c>
      <c r="I58" s="1" t="s">
        <v>69</v>
      </c>
      <c r="J58" s="1" t="s">
        <v>81</v>
      </c>
      <c r="K58" s="1">
        <f>IF(B58=B57,K57,K57+1)</f>
        <v>23</v>
      </c>
      <c r="L58" s="1"/>
      <c r="M58" s="1"/>
      <c r="N58" s="1"/>
      <c r="O58" s="1"/>
      <c r="P58" s="1"/>
      <c r="R58" s="1"/>
      <c r="S58" s="1"/>
    </row>
    <row r="59">
      <c r="A59" s="1" t="s">
        <v>65</v>
      </c>
      <c r="B59" s="1" t="str">
        <f>E59</f>
        <v xml:space="preserve">Education, Music, &amp; Arts</v>
      </c>
      <c r="C59" s="1" t="str">
        <f>F59</f>
        <v xml:space="preserve">Personnel - Education</v>
      </c>
      <c r="D59" s="1" t="s">
        <v>100</v>
      </c>
      <c r="E59" s="1" t="s">
        <v>48</v>
      </c>
      <c r="F59" s="1" t="s">
        <v>77</v>
      </c>
      <c r="G59" s="1" t="s">
        <v>48</v>
      </c>
      <c r="H59" s="1" t="s">
        <v>77</v>
      </c>
      <c r="I59" s="1" t="s">
        <v>69</v>
      </c>
      <c r="J59" s="1" t="s">
        <v>84</v>
      </c>
      <c r="K59" s="1">
        <f>IF(B59=B58,K58,K58+1)</f>
        <v>23</v>
      </c>
      <c r="L59" s="1"/>
      <c r="M59" s="1"/>
      <c r="N59" s="1"/>
      <c r="O59" s="1"/>
      <c r="P59" s="1"/>
      <c r="R59" s="1"/>
      <c r="S59" s="1"/>
    </row>
    <row r="60">
      <c r="A60" s="1" t="s">
        <v>65</v>
      </c>
      <c r="B60" s="1" t="str">
        <f>E60</f>
        <v xml:space="preserve">Education, Music, &amp; Arts</v>
      </c>
      <c r="C60" s="1" t="str">
        <f>F60</f>
        <v xml:space="preserve">Worship &amp; Arts</v>
      </c>
      <c r="D60" s="1" t="s">
        <v>101</v>
      </c>
      <c r="E60" s="1" t="s">
        <v>48</v>
      </c>
      <c r="F60" s="1" t="s">
        <v>87</v>
      </c>
      <c r="G60" s="1" t="s">
        <v>48</v>
      </c>
      <c r="H60" s="1" t="s">
        <v>92</v>
      </c>
      <c r="I60" s="1" t="s">
        <v>69</v>
      </c>
      <c r="J60" s="1" t="s">
        <v>81</v>
      </c>
      <c r="K60" s="1">
        <f>IF(B60=B59,K59,K59+1)</f>
        <v>23</v>
      </c>
      <c r="L60" s="1"/>
      <c r="M60" s="1"/>
      <c r="N60" s="1"/>
      <c r="O60" s="1"/>
      <c r="P60" s="1"/>
      <c r="R60" s="1"/>
      <c r="S60" s="1"/>
    </row>
    <row r="61">
      <c r="A61" s="1" t="s">
        <v>65</v>
      </c>
      <c r="B61" s="1" t="str">
        <f>E61</f>
        <v>Operations</v>
      </c>
      <c r="C61" s="1" t="str">
        <f>F61</f>
        <v xml:space="preserve">Worship &amp; Arts</v>
      </c>
      <c r="D61" s="1" t="s">
        <v>102</v>
      </c>
      <c r="E61" s="1" t="s">
        <v>12</v>
      </c>
      <c r="F61" s="1" t="s">
        <v>87</v>
      </c>
      <c r="G61" s="1" t="s">
        <v>12</v>
      </c>
      <c r="H61" s="1" t="s">
        <v>88</v>
      </c>
      <c r="I61" s="1" t="s">
        <v>69</v>
      </c>
      <c r="J61" s="1" t="s">
        <v>81</v>
      </c>
      <c r="K61" s="1">
        <f>IF(B61=B60,K60,K60+1)</f>
        <v>24</v>
      </c>
      <c r="L61" s="1"/>
      <c r="M61" s="1"/>
      <c r="N61" s="1"/>
      <c r="O61" s="1"/>
      <c r="P61" s="1"/>
      <c r="R61" s="1"/>
      <c r="S61" s="1"/>
    </row>
    <row r="62">
      <c r="A62" s="1" t="s">
        <v>65</v>
      </c>
      <c r="B62" s="1" t="str">
        <f>E62</f>
        <v xml:space="preserve">Education, Music, &amp; Arts</v>
      </c>
      <c r="C62" s="1" t="str">
        <f>F62</f>
        <v xml:space="preserve">Worship &amp; Arts</v>
      </c>
      <c r="D62" s="1" t="s">
        <v>103</v>
      </c>
      <c r="E62" s="1" t="s">
        <v>48</v>
      </c>
      <c r="F62" s="1" t="s">
        <v>87</v>
      </c>
      <c r="G62" s="1" t="s">
        <v>48</v>
      </c>
      <c r="H62" s="1" t="s">
        <v>92</v>
      </c>
      <c r="I62" s="1" t="s">
        <v>69</v>
      </c>
      <c r="J62" s="1" t="s">
        <v>81</v>
      </c>
      <c r="K62" s="1">
        <f>IF(B62=B61,K61,K61+1)</f>
        <v>25</v>
      </c>
      <c r="L62" s="1"/>
      <c r="M62" s="1"/>
      <c r="N62" s="1"/>
      <c r="O62" s="1"/>
      <c r="P62" s="1"/>
      <c r="R62" s="1"/>
      <c r="S62" s="1"/>
    </row>
    <row r="63">
      <c r="A63" s="1" t="s">
        <v>65</v>
      </c>
      <c r="B63" s="1" t="str">
        <f>E63</f>
        <v>Operations</v>
      </c>
      <c r="C63" s="1" t="str">
        <f>F63</f>
        <v xml:space="preserve">Worship &amp; Arts</v>
      </c>
      <c r="D63" s="1" t="s">
        <v>104</v>
      </c>
      <c r="E63" s="1" t="s">
        <v>12</v>
      </c>
      <c r="F63" s="1" t="s">
        <v>87</v>
      </c>
      <c r="G63" s="1" t="s">
        <v>12</v>
      </c>
      <c r="H63" s="1" t="s">
        <v>88</v>
      </c>
      <c r="I63" s="1" t="s">
        <v>69</v>
      </c>
      <c r="J63" s="1" t="s">
        <v>81</v>
      </c>
      <c r="K63" s="1">
        <f>IF(B63=B62,K62,K62+1)</f>
        <v>26</v>
      </c>
      <c r="L63" s="1"/>
      <c r="M63" s="1"/>
      <c r="N63" s="1"/>
      <c r="O63" s="1"/>
      <c r="P63" s="1"/>
      <c r="R63" s="1"/>
      <c r="S63" s="1"/>
    </row>
    <row r="64">
      <c r="A64" s="1" t="s">
        <v>65</v>
      </c>
      <c r="B64" s="1" t="str">
        <f>E64</f>
        <v xml:space="preserve">Education, Music, &amp; Arts</v>
      </c>
      <c r="C64" s="1" t="str">
        <f>F64</f>
        <v xml:space="preserve">Worship &amp; Arts</v>
      </c>
      <c r="D64" s="1" t="s">
        <v>105</v>
      </c>
      <c r="E64" s="1" t="s">
        <v>48</v>
      </c>
      <c r="F64" s="1" t="s">
        <v>87</v>
      </c>
      <c r="G64" s="1" t="s">
        <v>106</v>
      </c>
      <c r="H64" s="1" t="s">
        <v>92</v>
      </c>
      <c r="I64" s="1" t="s">
        <v>69</v>
      </c>
      <c r="J64" s="1" t="s">
        <v>81</v>
      </c>
      <c r="K64" s="1">
        <f>IF(B64=B63,K63,K63+1)</f>
        <v>27</v>
      </c>
      <c r="L64" s="1"/>
      <c r="M64" s="1"/>
      <c r="N64" s="1"/>
      <c r="O64" s="1"/>
      <c r="P64" s="1"/>
      <c r="R64" s="1"/>
      <c r="S64" s="1"/>
    </row>
    <row r="65">
      <c r="A65" s="1" t="s">
        <v>65</v>
      </c>
      <c r="B65" s="1" t="str">
        <f>E65</f>
        <v>Operations</v>
      </c>
      <c r="C65" s="1" t="str">
        <f>F65</f>
        <v xml:space="preserve">Worship &amp; Arts</v>
      </c>
      <c r="D65" t="s">
        <v>107</v>
      </c>
      <c r="E65" s="1" t="s">
        <v>12</v>
      </c>
      <c r="F65" s="1" t="s">
        <v>87</v>
      </c>
      <c r="G65" s="1" t="s">
        <v>12</v>
      </c>
      <c r="H65" s="1" t="s">
        <v>88</v>
      </c>
      <c r="I65" s="1" t="s">
        <v>69</v>
      </c>
      <c r="J65" s="1" t="s">
        <v>81</v>
      </c>
      <c r="K65" s="1">
        <f>IF(B65=B64,K64,K64+1)</f>
        <v>28</v>
      </c>
      <c r="L65" s="1"/>
      <c r="M65" s="1"/>
      <c r="N65" s="1"/>
      <c r="O65" s="1"/>
      <c r="P65" s="1"/>
      <c r="R65" s="1"/>
      <c r="S65" s="1"/>
    </row>
    <row r="66">
      <c r="A66" s="1" t="s">
        <v>65</v>
      </c>
      <c r="B66" s="1" t="str">
        <f>E66</f>
        <v>Operations</v>
      </c>
      <c r="C66" s="1" t="str">
        <f>F66</f>
        <v xml:space="preserve">Worship &amp; Arts</v>
      </c>
      <c r="D66" s="1" t="s">
        <v>108</v>
      </c>
      <c r="E66" s="1" t="s">
        <v>12</v>
      </c>
      <c r="F66" s="1" t="s">
        <v>87</v>
      </c>
      <c r="G66" s="1" t="s">
        <v>12</v>
      </c>
      <c r="H66" s="1" t="s">
        <v>88</v>
      </c>
      <c r="I66" s="1" t="s">
        <v>69</v>
      </c>
      <c r="J66" s="1" t="s">
        <v>81</v>
      </c>
      <c r="K66" s="1">
        <f>IF(B66=B65,K65,K65+1)</f>
        <v>28</v>
      </c>
      <c r="L66" s="1"/>
      <c r="M66" s="1"/>
      <c r="N66" s="1"/>
      <c r="O66" s="1"/>
      <c r="P66" s="1"/>
      <c r="R66" s="1"/>
      <c r="S66" s="1"/>
    </row>
    <row r="67">
      <c r="A67" s="1" t="s">
        <v>65</v>
      </c>
      <c r="B67" s="1" t="str">
        <f>E67</f>
        <v xml:space="preserve">Education, Music, &amp; Arts</v>
      </c>
      <c r="C67" s="1" t="str">
        <f>F67</f>
        <v xml:space="preserve">Worship &amp; Arts</v>
      </c>
      <c r="D67" s="1" t="s">
        <v>109</v>
      </c>
      <c r="E67" s="1" t="s">
        <v>48</v>
      </c>
      <c r="F67" s="1" t="s">
        <v>87</v>
      </c>
      <c r="G67" s="1" t="s">
        <v>48</v>
      </c>
      <c r="H67" s="1" t="s">
        <v>92</v>
      </c>
      <c r="I67" s="1" t="s">
        <v>69</v>
      </c>
      <c r="J67" s="1" t="s">
        <v>81</v>
      </c>
      <c r="K67" s="1">
        <f>IF(B67=B66,K66,K66+1)</f>
        <v>29</v>
      </c>
      <c r="L67" s="1"/>
      <c r="M67" s="1"/>
      <c r="N67" s="1"/>
      <c r="O67" s="1"/>
      <c r="P67" s="1"/>
      <c r="R67" s="1"/>
      <c r="S67" s="1"/>
    </row>
    <row r="68">
      <c r="A68" s="1" t="s">
        <v>65</v>
      </c>
      <c r="B68" s="1" t="str">
        <f>E68</f>
        <v>Operations</v>
      </c>
      <c r="C68" s="1" t="str">
        <f>F68</f>
        <v xml:space="preserve">Worship &amp; Arts</v>
      </c>
      <c r="D68" s="1" t="s">
        <v>110</v>
      </c>
      <c r="E68" s="1" t="s">
        <v>12</v>
      </c>
      <c r="F68" s="1" t="s">
        <v>87</v>
      </c>
      <c r="G68" s="1" t="s">
        <v>12</v>
      </c>
      <c r="H68" s="1" t="s">
        <v>88</v>
      </c>
      <c r="I68" s="1" t="s">
        <v>69</v>
      </c>
      <c r="J68" s="1" t="s">
        <v>81</v>
      </c>
      <c r="K68" s="1">
        <f>IF(B68=B67,K67,K67+1)</f>
        <v>30</v>
      </c>
      <c r="L68" s="1"/>
      <c r="M68" s="1"/>
      <c r="N68" s="1"/>
      <c r="O68" s="1"/>
      <c r="P68" s="1"/>
      <c r="R68" s="1"/>
      <c r="S68" s="1"/>
    </row>
    <row r="69">
      <c r="A69" s="1" t="s">
        <v>65</v>
      </c>
      <c r="B69" s="1" t="str">
        <f>E69</f>
        <v>Operations</v>
      </c>
      <c r="C69" s="1" t="str">
        <f>F69</f>
        <v xml:space="preserve">Worship &amp; Arts</v>
      </c>
      <c r="D69" s="1" t="s">
        <v>111</v>
      </c>
      <c r="E69" s="1" t="s">
        <v>12</v>
      </c>
      <c r="F69" s="1" t="s">
        <v>87</v>
      </c>
      <c r="G69" s="1" t="s">
        <v>12</v>
      </c>
      <c r="H69" s="1" t="s">
        <v>88</v>
      </c>
      <c r="I69" s="1" t="s">
        <v>69</v>
      </c>
      <c r="J69" s="1" t="s">
        <v>81</v>
      </c>
      <c r="K69" s="1">
        <f>IF(B69=B68,K68,K68+1)</f>
        <v>30</v>
      </c>
      <c r="L69" s="1"/>
      <c r="M69" s="1"/>
      <c r="N69" s="1"/>
      <c r="O69" s="1"/>
      <c r="P69" s="1"/>
      <c r="R69" s="1"/>
      <c r="S69" s="1"/>
    </row>
    <row r="70">
      <c r="A70" s="1" t="s">
        <v>65</v>
      </c>
      <c r="B70" s="1" t="str">
        <f>E70</f>
        <v>Operations</v>
      </c>
      <c r="C70" s="1" t="str">
        <f>F70</f>
        <v xml:space="preserve">Worship &amp; Arts</v>
      </c>
      <c r="D70" s="1" t="s">
        <v>112</v>
      </c>
      <c r="E70" s="1" t="s">
        <v>12</v>
      </c>
      <c r="F70" s="1" t="s">
        <v>87</v>
      </c>
      <c r="G70" s="1" t="s">
        <v>12</v>
      </c>
      <c r="H70" s="1" t="s">
        <v>88</v>
      </c>
      <c r="I70" s="1" t="s">
        <v>69</v>
      </c>
      <c r="J70" s="1" t="s">
        <v>81</v>
      </c>
      <c r="K70" s="1">
        <f>IF(B70=B69,K69,K69+1)</f>
        <v>30</v>
      </c>
      <c r="L70" s="1"/>
      <c r="M70" s="1"/>
      <c r="N70" s="1"/>
      <c r="O70" s="1"/>
      <c r="P70" s="1"/>
      <c r="R70" s="1"/>
      <c r="S70" s="1"/>
    </row>
    <row r="71">
      <c r="A71" s="1" t="s">
        <v>65</v>
      </c>
      <c r="B71" s="1" t="str">
        <f>E71</f>
        <v>Operations</v>
      </c>
      <c r="C71" s="1" t="str">
        <f>F71</f>
        <v xml:space="preserve">Worship &amp; Arts</v>
      </c>
      <c r="D71" s="1" t="s">
        <v>113</v>
      </c>
      <c r="E71" s="1" t="s">
        <v>12</v>
      </c>
      <c r="F71" s="1" t="s">
        <v>87</v>
      </c>
      <c r="G71" s="1" t="s">
        <v>12</v>
      </c>
      <c r="H71" s="1" t="s">
        <v>88</v>
      </c>
      <c r="I71" s="1" t="s">
        <v>69</v>
      </c>
      <c r="J71" s="1" t="s">
        <v>81</v>
      </c>
      <c r="K71" s="1">
        <f>IF(B71=B70,K70,K70+1)</f>
        <v>30</v>
      </c>
      <c r="L71" s="1"/>
      <c r="M71" s="1"/>
      <c r="N71" s="1"/>
      <c r="O71" s="1"/>
      <c r="P71" s="1"/>
      <c r="R71" s="1"/>
      <c r="S71" s="1"/>
    </row>
    <row r="72">
      <c r="A72" s="1" t="s">
        <v>65</v>
      </c>
      <c r="B72" s="1" t="str">
        <f>E72</f>
        <v xml:space="preserve">Education, Music, &amp; Arts</v>
      </c>
      <c r="C72" s="1" t="str">
        <f>F72</f>
        <v xml:space="preserve">Worship &amp; Arts</v>
      </c>
      <c r="D72" s="1" t="s">
        <v>114</v>
      </c>
      <c r="E72" s="1" t="s">
        <v>48</v>
      </c>
      <c r="F72" s="1" t="s">
        <v>87</v>
      </c>
      <c r="G72" s="1" t="s">
        <v>48</v>
      </c>
      <c r="H72" s="1" t="s">
        <v>92</v>
      </c>
      <c r="I72" s="1" t="s">
        <v>69</v>
      </c>
      <c r="J72" s="1" t="s">
        <v>81</v>
      </c>
      <c r="K72" s="1">
        <f>IF(B72=B71,K71,K71+1)</f>
        <v>31</v>
      </c>
      <c r="L72" s="1"/>
      <c r="M72" s="1"/>
      <c r="N72" s="1"/>
      <c r="O72" s="1"/>
      <c r="P72" s="1"/>
      <c r="R72" s="1"/>
      <c r="S72" s="1"/>
    </row>
    <row r="73">
      <c r="A73" s="1" t="s">
        <v>65</v>
      </c>
      <c r="B73" s="1" t="str">
        <f>E73</f>
        <v xml:space="preserve">Education, Music, &amp; Arts</v>
      </c>
      <c r="C73" s="1" t="str">
        <f>F73</f>
        <v xml:space="preserve">Worship &amp; Arts</v>
      </c>
      <c r="D73" s="1" t="s">
        <v>115</v>
      </c>
      <c r="E73" s="1" t="s">
        <v>48</v>
      </c>
      <c r="F73" s="1" t="s">
        <v>87</v>
      </c>
      <c r="G73" s="1" t="s">
        <v>48</v>
      </c>
      <c r="H73" s="1" t="s">
        <v>92</v>
      </c>
      <c r="I73" s="1" t="s">
        <v>69</v>
      </c>
      <c r="J73" s="1" t="s">
        <v>81</v>
      </c>
      <c r="K73" s="1">
        <f>IF(B73=B72,K72,K72+1)</f>
        <v>31</v>
      </c>
      <c r="L73" s="1"/>
      <c r="M73" s="1"/>
      <c r="N73" s="1"/>
      <c r="O73" s="1"/>
      <c r="P73" s="1"/>
      <c r="R73" s="1"/>
      <c r="S73" s="1"/>
    </row>
    <row r="74">
      <c r="A74" s="1" t="s">
        <v>65</v>
      </c>
      <c r="B74" s="1" t="str">
        <f>E74</f>
        <v>Personnel</v>
      </c>
      <c r="C74" s="1" t="str">
        <f>F74</f>
        <v xml:space="preserve">Youth Ed</v>
      </c>
      <c r="D74" s="1" t="s">
        <v>116</v>
      </c>
      <c r="E74" s="1" t="s">
        <v>67</v>
      </c>
      <c r="F74" s="1" t="s">
        <v>117</v>
      </c>
      <c r="G74" s="1" t="s">
        <v>67</v>
      </c>
      <c r="H74" s="1" t="s">
        <v>117</v>
      </c>
      <c r="I74" s="1" t="s">
        <v>118</v>
      </c>
      <c r="J74" s="1" t="s">
        <v>119</v>
      </c>
      <c r="K74" s="1">
        <f>IF(B74=B73,K73,K73+1)</f>
        <v>32</v>
      </c>
      <c r="L74" s="1"/>
      <c r="M74" s="1"/>
      <c r="N74" s="1"/>
      <c r="O74" s="1"/>
      <c r="P74" s="1"/>
      <c r="R74" s="1"/>
      <c r="S74" s="1"/>
    </row>
    <row r="75">
      <c r="A75" s="1" t="s">
        <v>65</v>
      </c>
      <c r="B75" s="1" t="str">
        <f>E75</f>
        <v>Personnel</v>
      </c>
      <c r="C75" s="1" t="str">
        <f>F75</f>
        <v xml:space="preserve">Youth Ed</v>
      </c>
      <c r="D75" s="1" t="s">
        <v>120</v>
      </c>
      <c r="E75" s="1" t="s">
        <v>67</v>
      </c>
      <c r="F75" s="1" t="s">
        <v>117</v>
      </c>
      <c r="G75" s="1" t="s">
        <v>67</v>
      </c>
      <c r="H75" s="1" t="s">
        <v>117</v>
      </c>
      <c r="I75" s="1" t="s">
        <v>118</v>
      </c>
      <c r="J75" s="1" t="s">
        <v>119</v>
      </c>
      <c r="K75" s="1">
        <f>IF(B75=B74,K74,K74+1)</f>
        <v>32</v>
      </c>
      <c r="L75" s="1"/>
      <c r="M75" s="1"/>
      <c r="N75" s="1"/>
      <c r="O75" s="1"/>
      <c r="P75" s="1"/>
      <c r="R75" s="1"/>
      <c r="S75" s="1"/>
    </row>
    <row r="76">
      <c r="A76" s="1" t="s">
        <v>65</v>
      </c>
      <c r="B76" s="1" t="str">
        <f>E76</f>
        <v>Personnel</v>
      </c>
      <c r="C76" s="1" t="str">
        <f>F76</f>
        <v xml:space="preserve">Youth Ed</v>
      </c>
      <c r="D76" s="1" t="s">
        <v>121</v>
      </c>
      <c r="E76" s="1" t="s">
        <v>67</v>
      </c>
      <c r="F76" s="1" t="s">
        <v>117</v>
      </c>
      <c r="G76" s="1" t="s">
        <v>67</v>
      </c>
      <c r="H76" s="1" t="s">
        <v>117</v>
      </c>
      <c r="I76" s="1" t="s">
        <v>118</v>
      </c>
      <c r="J76" s="1" t="s">
        <v>119</v>
      </c>
      <c r="K76" s="1">
        <f>IF(B76=B75,K75,K75+1)</f>
        <v>32</v>
      </c>
      <c r="L76" s="1"/>
      <c r="M76" s="1"/>
      <c r="N76" s="1"/>
      <c r="O76" s="1"/>
      <c r="P76" s="1"/>
      <c r="R76" s="1"/>
      <c r="S76" s="1"/>
    </row>
    <row r="77">
      <c r="A77" s="1" t="s">
        <v>65</v>
      </c>
      <c r="B77" s="1" t="str">
        <f>E77</f>
        <v>Personnel</v>
      </c>
      <c r="C77" s="1" t="str">
        <f>F77</f>
        <v xml:space="preserve">Youth Ed</v>
      </c>
      <c r="D77" s="9" t="s">
        <v>122</v>
      </c>
      <c r="E77" s="1" t="s">
        <v>67</v>
      </c>
      <c r="F77" s="1" t="s">
        <v>117</v>
      </c>
      <c r="G77" s="1" t="s">
        <v>67</v>
      </c>
      <c r="H77" s="1" t="s">
        <v>117</v>
      </c>
      <c r="I77" s="1" t="s">
        <v>118</v>
      </c>
      <c r="J77" s="1" t="s">
        <v>119</v>
      </c>
      <c r="K77" s="1">
        <f>IF(B77=B76,K76,K76+1)</f>
        <v>32</v>
      </c>
      <c r="L77" s="1"/>
      <c r="M77" s="1"/>
      <c r="N77" s="1"/>
      <c r="O77" s="1"/>
      <c r="P77" s="1"/>
      <c r="R77" s="1"/>
      <c r="S77" s="1"/>
    </row>
    <row r="78">
      <c r="A78" s="1" t="s">
        <v>65</v>
      </c>
      <c r="B78" s="1" t="str">
        <f>E78</f>
        <v>Personnel</v>
      </c>
      <c r="C78" s="1" t="str">
        <f>F78</f>
        <v xml:space="preserve">Youth Ed</v>
      </c>
      <c r="D78" s="1" t="s">
        <v>123</v>
      </c>
      <c r="E78" s="1" t="s">
        <v>67</v>
      </c>
      <c r="F78" s="1" t="s">
        <v>117</v>
      </c>
      <c r="G78" s="1" t="s">
        <v>67</v>
      </c>
      <c r="H78" s="1" t="s">
        <v>117</v>
      </c>
      <c r="I78" s="1" t="s">
        <v>118</v>
      </c>
      <c r="J78" s="1" t="s">
        <v>119</v>
      </c>
      <c r="K78" s="1">
        <f>IF(B78=B77,K77,K77+1)</f>
        <v>32</v>
      </c>
      <c r="L78" s="1"/>
      <c r="M78" s="1"/>
      <c r="N78" s="1"/>
      <c r="O78" s="1"/>
      <c r="P78" s="1"/>
      <c r="R78" s="1"/>
      <c r="S78" s="1"/>
    </row>
    <row r="79">
      <c r="A79" s="1" t="s">
        <v>65</v>
      </c>
      <c r="B79" s="1" t="str">
        <f>E79</f>
        <v>Operations</v>
      </c>
      <c r="C79" s="1" t="str">
        <f>F79</f>
        <v xml:space="preserve">Youth Ed</v>
      </c>
      <c r="D79" s="1" t="s">
        <v>124</v>
      </c>
      <c r="E79" s="1" t="s">
        <v>12</v>
      </c>
      <c r="F79" s="1" t="s">
        <v>117</v>
      </c>
      <c r="G79" s="1" t="s">
        <v>12</v>
      </c>
      <c r="H79" s="1" t="s">
        <v>117</v>
      </c>
      <c r="I79" s="1" t="s">
        <v>118</v>
      </c>
      <c r="J79" s="1" t="s">
        <v>125</v>
      </c>
      <c r="K79" s="1">
        <f>IF(B79=B78,K78,K78+1)</f>
        <v>33</v>
      </c>
      <c r="L79" s="1"/>
      <c r="M79" s="1"/>
      <c r="N79" s="1"/>
      <c r="O79" s="1"/>
      <c r="P79" s="1"/>
      <c r="R79" s="1"/>
      <c r="S79" s="1"/>
    </row>
    <row r="80">
      <c r="A80" s="1" t="s">
        <v>65</v>
      </c>
      <c r="B80" s="1" t="str">
        <f>E80</f>
        <v>Operations</v>
      </c>
      <c r="C80" s="1" t="str">
        <f>F80</f>
        <v xml:space="preserve">Youth Ed</v>
      </c>
      <c r="D80" s="1" t="s">
        <v>126</v>
      </c>
      <c r="E80" s="1" t="s">
        <v>12</v>
      </c>
      <c r="F80" s="1" t="s">
        <v>117</v>
      </c>
      <c r="G80" s="1" t="s">
        <v>12</v>
      </c>
      <c r="H80" s="1" t="s">
        <v>117</v>
      </c>
      <c r="I80" s="1" t="s">
        <v>118</v>
      </c>
      <c r="J80" s="1" t="s">
        <v>125</v>
      </c>
      <c r="K80" s="1">
        <f>IF(B80=B79,K79,K79+1)</f>
        <v>33</v>
      </c>
      <c r="L80" s="1"/>
      <c r="M80" s="1"/>
      <c r="N80" s="1"/>
      <c r="O80" s="1"/>
      <c r="P80" s="1"/>
      <c r="R80" s="1"/>
      <c r="S80" s="1"/>
    </row>
    <row r="81">
      <c r="A81" s="1" t="s">
        <v>65</v>
      </c>
      <c r="B81" s="1" t="str">
        <f>E81</f>
        <v>Operations</v>
      </c>
      <c r="C81" s="1" t="str">
        <f>F81</f>
        <v xml:space="preserve">Youth Ed</v>
      </c>
      <c r="D81" s="1" t="s">
        <v>127</v>
      </c>
      <c r="E81" s="1" t="s">
        <v>12</v>
      </c>
      <c r="F81" s="1" t="s">
        <v>117</v>
      </c>
      <c r="G81" s="1" t="s">
        <v>12</v>
      </c>
      <c r="H81" s="1" t="s">
        <v>117</v>
      </c>
      <c r="I81" s="1" t="s">
        <v>118</v>
      </c>
      <c r="J81" s="1" t="s">
        <v>125</v>
      </c>
      <c r="K81" s="1">
        <f>IF(B81=B80,K80,K80+1)</f>
        <v>33</v>
      </c>
      <c r="L81" s="1"/>
      <c r="M81" s="1"/>
      <c r="N81" s="1"/>
      <c r="O81" s="1"/>
      <c r="P81" s="1"/>
      <c r="R81" s="1"/>
      <c r="S81" s="1"/>
    </row>
    <row r="82">
      <c r="A82" s="1" t="s">
        <v>65</v>
      </c>
      <c r="B82" s="1" t="str">
        <f>E82</f>
        <v>Operations</v>
      </c>
      <c r="C82" s="1" t="str">
        <f>F82</f>
        <v xml:space="preserve">Youth Ed</v>
      </c>
      <c r="D82" s="1" t="s">
        <v>128</v>
      </c>
      <c r="E82" s="1" t="s">
        <v>12</v>
      </c>
      <c r="F82" s="1" t="s">
        <v>117</v>
      </c>
      <c r="G82" s="1" t="s">
        <v>12</v>
      </c>
      <c r="H82" s="1" t="s">
        <v>117</v>
      </c>
      <c r="I82" s="1" t="s">
        <v>118</v>
      </c>
      <c r="J82" s="1" t="s">
        <v>125</v>
      </c>
      <c r="K82" s="1">
        <f>IF(B82=B81,K81,K81+1)</f>
        <v>33</v>
      </c>
      <c r="L82" s="1"/>
      <c r="M82" s="1"/>
      <c r="N82" s="1"/>
      <c r="O82" s="1"/>
      <c r="P82" s="1"/>
      <c r="R82" s="1"/>
      <c r="S82" s="1"/>
    </row>
    <row r="83">
      <c r="A83" s="1" t="s">
        <v>65</v>
      </c>
      <c r="B83" s="1" t="str">
        <f>E83</f>
        <v>Operations</v>
      </c>
      <c r="C83" s="1" t="str">
        <f>F83</f>
        <v xml:space="preserve">Youth Ed</v>
      </c>
      <c r="D83" s="1" t="s">
        <v>129</v>
      </c>
      <c r="E83" s="1" t="s">
        <v>12</v>
      </c>
      <c r="F83" s="1" t="s">
        <v>117</v>
      </c>
      <c r="G83" s="1" t="s">
        <v>12</v>
      </c>
      <c r="H83" s="1" t="s">
        <v>117</v>
      </c>
      <c r="I83" s="1" t="s">
        <v>118</v>
      </c>
      <c r="J83" s="1" t="s">
        <v>125</v>
      </c>
      <c r="K83" s="1">
        <f>IF(B83=B82,K82,K82+1)</f>
        <v>33</v>
      </c>
      <c r="L83" s="1"/>
      <c r="M83" s="1"/>
      <c r="N83" s="1"/>
      <c r="O83" s="1"/>
      <c r="P83" s="1"/>
      <c r="R83" s="1"/>
      <c r="S83" s="1"/>
    </row>
    <row r="84">
      <c r="A84" s="1" t="s">
        <v>65</v>
      </c>
      <c r="B84" s="1" t="str">
        <f>E84</f>
        <v>Operations</v>
      </c>
      <c r="C84" s="1" t="str">
        <f>F84</f>
        <v xml:space="preserve">Youth Ed</v>
      </c>
      <c r="D84" s="1" t="s">
        <v>130</v>
      </c>
      <c r="E84" s="1" t="s">
        <v>12</v>
      </c>
      <c r="F84" s="1" t="s">
        <v>117</v>
      </c>
      <c r="G84" s="1" t="s">
        <v>12</v>
      </c>
      <c r="H84" s="1" t="s">
        <v>117</v>
      </c>
      <c r="I84" s="1" t="s">
        <v>118</v>
      </c>
      <c r="J84" s="1" t="s">
        <v>125</v>
      </c>
      <c r="K84" s="1">
        <f>IF(B84=B83,K83,K83+1)</f>
        <v>33</v>
      </c>
      <c r="L84" s="1"/>
      <c r="M84" s="1"/>
      <c r="N84" s="1"/>
      <c r="O84" s="1"/>
      <c r="P84" s="1"/>
      <c r="R84" s="1"/>
      <c r="S84" s="1"/>
    </row>
    <row r="85">
      <c r="A85" s="1" t="s">
        <v>65</v>
      </c>
      <c r="B85" s="1" t="str">
        <f>E85</f>
        <v>Operations</v>
      </c>
      <c r="C85" s="1" t="str">
        <f>F85</f>
        <v xml:space="preserve">Youth Ed</v>
      </c>
      <c r="D85" s="1" t="s">
        <v>131</v>
      </c>
      <c r="E85" s="1" t="s">
        <v>12</v>
      </c>
      <c r="F85" s="1" t="s">
        <v>117</v>
      </c>
      <c r="G85" s="1" t="s">
        <v>12</v>
      </c>
      <c r="H85" s="1" t="s">
        <v>117</v>
      </c>
      <c r="I85" s="1" t="s">
        <v>118</v>
      </c>
      <c r="J85" s="1" t="s">
        <v>125</v>
      </c>
      <c r="K85" s="1">
        <f>IF(B85=B84,K84,K84+1)</f>
        <v>33</v>
      </c>
      <c r="L85" s="1"/>
      <c r="M85" s="1"/>
      <c r="N85" s="1"/>
      <c r="O85" s="1"/>
      <c r="P85" s="1"/>
      <c r="R85" s="1"/>
      <c r="S85" s="1"/>
    </row>
    <row r="86">
      <c r="A86" s="1" t="s">
        <v>65</v>
      </c>
      <c r="B86" s="1" t="str">
        <f>E86</f>
        <v>Operations</v>
      </c>
      <c r="C86" s="1" t="str">
        <f>F86</f>
        <v xml:space="preserve">Youth Ed</v>
      </c>
      <c r="D86" s="1" t="s">
        <v>132</v>
      </c>
      <c r="E86" s="1" t="s">
        <v>12</v>
      </c>
      <c r="F86" s="1" t="s">
        <v>117</v>
      </c>
      <c r="G86" s="1" t="s">
        <v>12</v>
      </c>
      <c r="H86" s="1" t="s">
        <v>117</v>
      </c>
      <c r="I86" s="1" t="s">
        <v>118</v>
      </c>
      <c r="J86" s="1" t="s">
        <v>125</v>
      </c>
      <c r="K86" s="1">
        <f>IF(B86=B85,K85,K85+1)</f>
        <v>33</v>
      </c>
      <c r="L86" s="1"/>
      <c r="M86" s="1"/>
      <c r="N86" s="1"/>
      <c r="O86" s="1"/>
      <c r="P86" s="1"/>
      <c r="R86" s="1"/>
      <c r="S86" s="1"/>
    </row>
    <row r="87">
      <c r="A87" s="1" t="s">
        <v>65</v>
      </c>
      <c r="B87" s="1" t="str">
        <f>E87</f>
        <v>Mission</v>
      </c>
      <c r="C87" s="1" t="str">
        <f>F87</f>
        <v xml:space="preserve">Youth Ed</v>
      </c>
      <c r="D87" s="1" t="s">
        <v>133</v>
      </c>
      <c r="E87" s="1" t="s">
        <v>23</v>
      </c>
      <c r="F87" s="1" t="s">
        <v>117</v>
      </c>
      <c r="G87" s="1" t="s">
        <v>134</v>
      </c>
      <c r="H87" s="1" t="s">
        <v>117</v>
      </c>
      <c r="I87" s="1" t="s">
        <v>118</v>
      </c>
      <c r="J87" s="1" t="s">
        <v>125</v>
      </c>
      <c r="K87" s="1">
        <f>IF(B87=B86,K86,K86+1)</f>
        <v>34</v>
      </c>
      <c r="L87" s="1"/>
      <c r="M87" s="1"/>
      <c r="N87" s="1"/>
      <c r="O87" s="1"/>
      <c r="P87" s="1"/>
      <c r="R87" s="1"/>
      <c r="S87" s="1"/>
    </row>
    <row r="88">
      <c r="A88" s="1" t="s">
        <v>65</v>
      </c>
      <c r="B88" s="1" t="str">
        <f>E88</f>
        <v>Operations</v>
      </c>
      <c r="C88" s="1" t="str">
        <f>F88</f>
        <v xml:space="preserve">Youth Ed</v>
      </c>
      <c r="D88" s="1" t="s">
        <v>135</v>
      </c>
      <c r="E88" s="1" t="s">
        <v>12</v>
      </c>
      <c r="F88" s="1" t="s">
        <v>117</v>
      </c>
      <c r="G88" s="1" t="s">
        <v>12</v>
      </c>
      <c r="H88" s="1" t="s">
        <v>117</v>
      </c>
      <c r="I88" s="1" t="s">
        <v>118</v>
      </c>
      <c r="J88" s="1" t="s">
        <v>125</v>
      </c>
      <c r="K88" s="1">
        <f>IF(B88=B87,K87,K87+1)</f>
        <v>35</v>
      </c>
      <c r="L88" s="1"/>
      <c r="M88" s="1"/>
      <c r="N88" s="1"/>
      <c r="O88" s="1"/>
      <c r="P88" s="1"/>
      <c r="R88" s="1"/>
      <c r="S88" s="1"/>
    </row>
    <row r="89">
      <c r="A89" s="1" t="s">
        <v>65</v>
      </c>
      <c r="B89" s="1" t="str">
        <f>E89</f>
        <v>Operations</v>
      </c>
      <c r="C89" s="1" t="str">
        <f>F89</f>
        <v xml:space="preserve">Youth Ed</v>
      </c>
      <c r="D89" s="1" t="s">
        <v>136</v>
      </c>
      <c r="E89" s="1" t="s">
        <v>12</v>
      </c>
      <c r="F89" s="1" t="s">
        <v>117</v>
      </c>
      <c r="G89" s="1" t="s">
        <v>12</v>
      </c>
      <c r="H89" s="1" t="s">
        <v>117</v>
      </c>
      <c r="I89" s="1" t="s">
        <v>118</v>
      </c>
      <c r="J89" s="1" t="s">
        <v>125</v>
      </c>
      <c r="K89" s="1">
        <f>IF(B89=B88,K88,K88+1)</f>
        <v>35</v>
      </c>
      <c r="L89" s="1"/>
      <c r="M89" s="1"/>
      <c r="N89" s="1"/>
      <c r="O89" s="1"/>
      <c r="P89" s="1"/>
      <c r="R89" s="1"/>
      <c r="S89" s="1"/>
    </row>
    <row r="90">
      <c r="A90" s="1" t="s">
        <v>65</v>
      </c>
      <c r="B90" s="1" t="str">
        <f>E90</f>
        <v>Operations</v>
      </c>
      <c r="C90" s="1" t="str">
        <f>F90</f>
        <v xml:space="preserve">Youth Ed</v>
      </c>
      <c r="D90" s="1" t="s">
        <v>137</v>
      </c>
      <c r="E90" s="1" t="s">
        <v>12</v>
      </c>
      <c r="F90" s="1" t="s">
        <v>117</v>
      </c>
      <c r="G90" s="1" t="s">
        <v>12</v>
      </c>
      <c r="H90" s="1" t="s">
        <v>117</v>
      </c>
      <c r="I90" s="1" t="s">
        <v>118</v>
      </c>
      <c r="J90" s="1" t="s">
        <v>125</v>
      </c>
      <c r="K90" s="1">
        <f>IF(B90=B89,K89,K89+1)</f>
        <v>35</v>
      </c>
      <c r="L90" s="1"/>
      <c r="M90" s="1"/>
      <c r="N90" s="1"/>
      <c r="O90" s="1"/>
      <c r="P90" s="1"/>
      <c r="R90" s="1"/>
      <c r="S90" s="1"/>
    </row>
    <row r="91">
      <c r="A91" s="1" t="s">
        <v>65</v>
      </c>
      <c r="B91" s="1" t="str">
        <f>E91</f>
        <v>Operations</v>
      </c>
      <c r="C91" s="1" t="str">
        <f>F91</f>
        <v xml:space="preserve">Youth Ed</v>
      </c>
      <c r="D91" s="1" t="s">
        <v>138</v>
      </c>
      <c r="E91" s="1" t="s">
        <v>12</v>
      </c>
      <c r="F91" s="1" t="s">
        <v>117</v>
      </c>
      <c r="G91" s="1" t="s">
        <v>12</v>
      </c>
      <c r="H91" s="1" t="s">
        <v>117</v>
      </c>
      <c r="I91" s="1" t="s">
        <v>118</v>
      </c>
      <c r="J91" s="1" t="s">
        <v>125</v>
      </c>
      <c r="K91" s="1">
        <f>IF(B91=B90,K90,K90+1)</f>
        <v>35</v>
      </c>
      <c r="L91" s="1"/>
      <c r="M91" s="1"/>
      <c r="N91" s="1"/>
      <c r="O91" s="1"/>
      <c r="P91" s="1"/>
      <c r="R91" s="1"/>
      <c r="S91" s="1"/>
    </row>
    <row r="92">
      <c r="A92" s="1" t="s">
        <v>65</v>
      </c>
      <c r="B92" s="1" t="str">
        <f>E92</f>
        <v>Operations</v>
      </c>
      <c r="C92" s="1" t="str">
        <f>F92</f>
        <v xml:space="preserve">Youth Ed</v>
      </c>
      <c r="D92" s="1" t="s">
        <v>139</v>
      </c>
      <c r="E92" s="1" t="s">
        <v>12</v>
      </c>
      <c r="F92" s="1" t="s">
        <v>117</v>
      </c>
      <c r="G92" s="1" t="s">
        <v>12</v>
      </c>
      <c r="H92" s="1" t="s">
        <v>117</v>
      </c>
      <c r="I92" s="1" t="s">
        <v>118</v>
      </c>
      <c r="J92" s="1" t="s">
        <v>125</v>
      </c>
      <c r="K92" s="1">
        <f>IF(B92=B91,K91,K91+1)</f>
        <v>35</v>
      </c>
      <c r="L92" s="1"/>
      <c r="M92" s="1"/>
      <c r="N92" s="1"/>
      <c r="O92" s="1"/>
      <c r="P92" s="1"/>
      <c r="R92" s="1"/>
      <c r="S92" s="1"/>
    </row>
    <row r="93">
      <c r="A93" s="1" t="s">
        <v>65</v>
      </c>
      <c r="B93" s="1" t="str">
        <f>E93</f>
        <v>Operations</v>
      </c>
      <c r="C93" s="1" t="str">
        <f>F93</f>
        <v xml:space="preserve">Youth Ed</v>
      </c>
      <c r="D93" s="1" t="s">
        <v>140</v>
      </c>
      <c r="E93" s="1" t="s">
        <v>12</v>
      </c>
      <c r="F93" s="1" t="s">
        <v>117</v>
      </c>
      <c r="G93" s="1" t="s">
        <v>12</v>
      </c>
      <c r="H93" s="1" t="s">
        <v>117</v>
      </c>
      <c r="I93" s="1" t="s">
        <v>118</v>
      </c>
      <c r="J93" s="1" t="s">
        <v>125</v>
      </c>
      <c r="K93" s="1">
        <f>IF(B93=B92,K92,K92+1)</f>
        <v>35</v>
      </c>
      <c r="L93" s="1"/>
      <c r="M93" s="1"/>
      <c r="N93" s="1"/>
      <c r="O93" s="1"/>
      <c r="P93" s="1"/>
      <c r="R93" s="1"/>
      <c r="S93" s="1"/>
    </row>
    <row r="94">
      <c r="A94" s="1" t="s">
        <v>65</v>
      </c>
      <c r="B94" s="1" t="str">
        <f>E94</f>
        <v>Mission</v>
      </c>
      <c r="C94" s="1" t="str">
        <f>F94</f>
        <v>M&amp;B</v>
      </c>
      <c r="D94" s="1" t="s">
        <v>141</v>
      </c>
      <c r="E94" s="1" t="s">
        <v>23</v>
      </c>
      <c r="F94" s="1" t="s">
        <v>142</v>
      </c>
      <c r="G94" s="1" t="s">
        <v>143</v>
      </c>
      <c r="H94" s="1" t="s">
        <v>142</v>
      </c>
      <c r="I94" s="1" t="s">
        <v>144</v>
      </c>
      <c r="J94" s="1" t="s">
        <v>144</v>
      </c>
      <c r="K94" s="1">
        <f>IF(B94=B93,K93,K93+1)</f>
        <v>36</v>
      </c>
      <c r="L94" s="1"/>
      <c r="M94" s="1"/>
      <c r="N94" s="1"/>
      <c r="O94" s="1"/>
      <c r="P94" s="1"/>
      <c r="R94" s="1"/>
      <c r="S94" s="1"/>
    </row>
    <row r="95">
      <c r="A95" s="1" t="s">
        <v>65</v>
      </c>
      <c r="B95" s="1" t="str">
        <f>E95</f>
        <v>Mission</v>
      </c>
      <c r="C95" s="1" t="str">
        <f>F95</f>
        <v>M&amp;B</v>
      </c>
      <c r="D95" s="1" t="s">
        <v>145</v>
      </c>
      <c r="E95" s="1" t="s">
        <v>23</v>
      </c>
      <c r="F95" s="1" t="s">
        <v>142</v>
      </c>
      <c r="G95" s="1" t="s">
        <v>143</v>
      </c>
      <c r="H95" s="1" t="s">
        <v>142</v>
      </c>
      <c r="I95" s="1" t="s">
        <v>144</v>
      </c>
      <c r="J95" s="1" t="s">
        <v>144</v>
      </c>
      <c r="K95" s="1">
        <f>IF(B95=B94,K94,K94+1)</f>
        <v>36</v>
      </c>
      <c r="L95" s="1"/>
      <c r="M95" s="1"/>
      <c r="N95" s="1"/>
      <c r="O95" s="1"/>
      <c r="P95" s="1"/>
      <c r="R95" s="1"/>
      <c r="S95" s="1"/>
    </row>
    <row r="96">
      <c r="A96" s="1" t="s">
        <v>65</v>
      </c>
      <c r="B96" s="1" t="str">
        <f>E96</f>
        <v>Mission</v>
      </c>
      <c r="C96" s="1" t="str">
        <f>F96</f>
        <v>M&amp;B</v>
      </c>
      <c r="D96" s="1" t="s">
        <v>146</v>
      </c>
      <c r="E96" s="1" t="s">
        <v>23</v>
      </c>
      <c r="F96" s="1" t="s">
        <v>142</v>
      </c>
      <c r="G96" s="1" t="s">
        <v>143</v>
      </c>
      <c r="H96" s="1" t="s">
        <v>142</v>
      </c>
      <c r="I96" s="1" t="s">
        <v>144</v>
      </c>
      <c r="J96" s="1" t="s">
        <v>144</v>
      </c>
      <c r="K96" s="1">
        <f>IF(B96=B95,K95,K95+1)</f>
        <v>36</v>
      </c>
      <c r="L96" s="1"/>
      <c r="M96" s="1"/>
      <c r="N96" s="1"/>
      <c r="O96" s="1"/>
      <c r="P96" s="1"/>
      <c r="R96" s="1"/>
      <c r="S96" s="1"/>
    </row>
    <row r="97">
      <c r="A97" s="1" t="s">
        <v>65</v>
      </c>
      <c r="B97" s="1" t="str">
        <f>E97</f>
        <v>Mission</v>
      </c>
      <c r="C97" s="1" t="str">
        <f>F97</f>
        <v>M&amp;B</v>
      </c>
      <c r="D97" s="1" t="s">
        <v>147</v>
      </c>
      <c r="E97" s="1" t="s">
        <v>23</v>
      </c>
      <c r="F97" s="1" t="s">
        <v>142</v>
      </c>
      <c r="G97" s="1" t="s">
        <v>143</v>
      </c>
      <c r="H97" s="1" t="s">
        <v>142</v>
      </c>
      <c r="I97" s="1" t="s">
        <v>144</v>
      </c>
      <c r="J97" s="1" t="s">
        <v>144</v>
      </c>
      <c r="K97" s="1">
        <f>IF(B97=B96,K96,K96+1)</f>
        <v>36</v>
      </c>
      <c r="L97" s="1"/>
      <c r="M97" s="1"/>
      <c r="N97" s="1"/>
      <c r="O97" s="1"/>
      <c r="P97" s="1"/>
      <c r="R97" s="1"/>
      <c r="S97" s="1"/>
    </row>
    <row r="98">
      <c r="A98" s="1" t="s">
        <v>65</v>
      </c>
      <c r="B98" s="1" t="str">
        <f>E98</f>
        <v>Mission</v>
      </c>
      <c r="C98" s="1" t="str">
        <f>F98</f>
        <v>M&amp;B</v>
      </c>
      <c r="D98" s="1" t="s">
        <v>148</v>
      </c>
      <c r="E98" s="1" t="s">
        <v>23</v>
      </c>
      <c r="F98" s="1" t="s">
        <v>142</v>
      </c>
      <c r="G98" s="1" t="s">
        <v>143</v>
      </c>
      <c r="H98" s="1" t="s">
        <v>142</v>
      </c>
      <c r="I98" s="1" t="s">
        <v>144</v>
      </c>
      <c r="J98" s="1" t="s">
        <v>144</v>
      </c>
      <c r="K98" s="1">
        <f>IF(B98=B97,K97,K97+1)</f>
        <v>36</v>
      </c>
      <c r="L98" s="1"/>
      <c r="M98" s="1"/>
      <c r="N98" s="1"/>
      <c r="O98" s="1"/>
      <c r="P98" s="1"/>
      <c r="R98" s="1"/>
      <c r="S98" s="1"/>
    </row>
    <row r="99">
      <c r="A99" s="1" t="s">
        <v>65</v>
      </c>
      <c r="B99" s="1" t="str">
        <f>E99</f>
        <v>Mission</v>
      </c>
      <c r="C99" s="1" t="str">
        <f>F99</f>
        <v>M&amp;B</v>
      </c>
      <c r="D99" s="1" t="s">
        <v>149</v>
      </c>
      <c r="E99" s="1" t="s">
        <v>23</v>
      </c>
      <c r="F99" s="1" t="s">
        <v>142</v>
      </c>
      <c r="G99" s="1" t="s">
        <v>143</v>
      </c>
      <c r="H99" s="1" t="s">
        <v>142</v>
      </c>
      <c r="I99" s="1" t="s">
        <v>144</v>
      </c>
      <c r="J99" s="1" t="s">
        <v>144</v>
      </c>
      <c r="K99" s="1">
        <f>IF(B99=B98,K98,K98+1)</f>
        <v>36</v>
      </c>
      <c r="L99" s="1"/>
      <c r="M99" s="1"/>
      <c r="N99" s="1"/>
      <c r="O99" s="1"/>
      <c r="P99" s="1"/>
      <c r="R99" s="1"/>
      <c r="S99" s="1"/>
    </row>
    <row r="100">
      <c r="A100" s="1" t="s">
        <v>65</v>
      </c>
      <c r="B100" s="1" t="str">
        <f>E100</f>
        <v>Mission</v>
      </c>
      <c r="C100" s="1" t="str">
        <f>F100</f>
        <v>M&amp;B</v>
      </c>
      <c r="D100" s="1" t="s">
        <v>150</v>
      </c>
      <c r="E100" s="1" t="s">
        <v>23</v>
      </c>
      <c r="F100" s="1" t="s">
        <v>142</v>
      </c>
      <c r="G100" s="1" t="s">
        <v>143</v>
      </c>
      <c r="H100" s="1" t="s">
        <v>142</v>
      </c>
      <c r="I100" s="1" t="s">
        <v>144</v>
      </c>
      <c r="J100" s="1" t="s">
        <v>144</v>
      </c>
      <c r="K100" s="1">
        <f>IF(B100=B99,K99,K99+1)</f>
        <v>36</v>
      </c>
      <c r="L100" s="1"/>
      <c r="M100" s="1"/>
      <c r="N100" s="1"/>
      <c r="O100" s="1"/>
      <c r="P100" s="1"/>
      <c r="R100" s="1"/>
      <c r="S100" s="1"/>
    </row>
    <row r="101">
      <c r="A101" s="1" t="s">
        <v>65</v>
      </c>
      <c r="B101" s="1" t="str">
        <f>E101</f>
        <v>Mission</v>
      </c>
      <c r="C101" s="1" t="str">
        <f>F101</f>
        <v>M&amp;B</v>
      </c>
      <c r="D101" s="1" t="s">
        <v>151</v>
      </c>
      <c r="E101" s="1" t="s">
        <v>23</v>
      </c>
      <c r="F101" s="1" t="s">
        <v>142</v>
      </c>
      <c r="G101" s="1" t="s">
        <v>143</v>
      </c>
      <c r="H101" s="1" t="s">
        <v>142</v>
      </c>
      <c r="I101" s="1" t="s">
        <v>144</v>
      </c>
      <c r="J101" s="1" t="s">
        <v>144</v>
      </c>
      <c r="K101" s="1">
        <f>IF(B101=B100,K100,K100+1)</f>
        <v>36</v>
      </c>
      <c r="L101" s="1"/>
      <c r="M101" s="1"/>
      <c r="N101" s="1"/>
      <c r="O101" s="1"/>
      <c r="P101" s="1"/>
      <c r="R101" s="1"/>
      <c r="S101" s="1"/>
    </row>
    <row r="102">
      <c r="A102" s="1" t="s">
        <v>65</v>
      </c>
      <c r="B102" s="1" t="str">
        <f>E102</f>
        <v>Mission</v>
      </c>
      <c r="C102" s="1" t="str">
        <f>F102</f>
        <v>M&amp;B</v>
      </c>
      <c r="D102" s="1" t="s">
        <v>152</v>
      </c>
      <c r="E102" s="1" t="s">
        <v>23</v>
      </c>
      <c r="F102" s="1" t="s">
        <v>142</v>
      </c>
      <c r="G102" s="1" t="s">
        <v>153</v>
      </c>
      <c r="H102" s="1" t="s">
        <v>142</v>
      </c>
      <c r="I102" s="1" t="s">
        <v>144</v>
      </c>
      <c r="J102" s="1" t="s">
        <v>144</v>
      </c>
      <c r="K102" s="1">
        <f>IF(B102=B101,K101,K101+1)</f>
        <v>36</v>
      </c>
      <c r="L102" s="1"/>
      <c r="M102" s="1"/>
      <c r="N102" s="1"/>
      <c r="O102" s="1"/>
      <c r="P102" s="1"/>
      <c r="R102" s="1"/>
      <c r="S102" s="1"/>
    </row>
    <row r="103">
      <c r="A103" s="1" t="s">
        <v>65</v>
      </c>
      <c r="B103" s="1" t="str">
        <f>E103</f>
        <v>Mission</v>
      </c>
      <c r="C103" s="1" t="str">
        <f>F103</f>
        <v xml:space="preserve">UP Mission</v>
      </c>
      <c r="D103" s="1" t="s">
        <v>154</v>
      </c>
      <c r="E103" s="1" t="s">
        <v>23</v>
      </c>
      <c r="F103" s="1" t="s">
        <v>155</v>
      </c>
      <c r="G103" s="1" t="s">
        <v>156</v>
      </c>
      <c r="H103" s="1" t="s">
        <v>155</v>
      </c>
      <c r="I103" s="1" t="s">
        <v>144</v>
      </c>
      <c r="J103" s="1" t="s">
        <v>144</v>
      </c>
      <c r="K103" s="1">
        <f>IF(B103=B102,K102,K102+1)</f>
        <v>36</v>
      </c>
      <c r="L103" s="1"/>
      <c r="M103" s="1"/>
      <c r="N103" s="1"/>
      <c r="O103" s="1"/>
      <c r="P103" s="1"/>
      <c r="R103" s="1"/>
      <c r="S103" s="1"/>
    </row>
    <row r="104">
      <c r="A104" s="1" t="s">
        <v>65</v>
      </c>
      <c r="B104" s="1" t="str">
        <f>E104</f>
        <v>Mission</v>
      </c>
      <c r="C104" s="1" t="str">
        <f>F104</f>
        <v>M&amp;B</v>
      </c>
      <c r="D104" t="s">
        <v>157</v>
      </c>
      <c r="E104" s="1" t="s">
        <v>23</v>
      </c>
      <c r="F104" s="1" t="s">
        <v>142</v>
      </c>
      <c r="G104" s="1" t="s">
        <v>143</v>
      </c>
      <c r="H104" s="1" t="s">
        <v>142</v>
      </c>
      <c r="I104" s="1" t="s">
        <v>144</v>
      </c>
      <c r="J104" s="1" t="s">
        <v>144</v>
      </c>
      <c r="K104" s="1">
        <f>IF(B104=B103,K103,K103+1)</f>
        <v>36</v>
      </c>
      <c r="L104" s="1"/>
      <c r="M104" s="1"/>
      <c r="N104" s="1"/>
      <c r="O104" s="1"/>
      <c r="P104" s="1"/>
      <c r="R104" s="1"/>
      <c r="S104" s="1"/>
    </row>
    <row r="105">
      <c r="A105" s="1" t="s">
        <v>65</v>
      </c>
      <c r="B105" s="1" t="str">
        <f>E105</f>
        <v>Mission</v>
      </c>
      <c r="C105" s="1" t="str">
        <f>F105</f>
        <v>M&amp;B</v>
      </c>
      <c r="D105" s="10" t="s">
        <v>158</v>
      </c>
      <c r="E105" s="1" t="s">
        <v>23</v>
      </c>
      <c r="F105" s="1" t="s">
        <v>142</v>
      </c>
      <c r="G105" s="1" t="s">
        <v>143</v>
      </c>
      <c r="H105" s="1" t="s">
        <v>142</v>
      </c>
      <c r="I105" s="1" t="s">
        <v>144</v>
      </c>
      <c r="J105" s="1" t="s">
        <v>144</v>
      </c>
      <c r="K105" s="1">
        <f>IF(B105=B104,K104,K104+1)</f>
        <v>36</v>
      </c>
      <c r="L105" s="1"/>
      <c r="M105" s="1"/>
      <c r="N105" s="1"/>
      <c r="O105" s="1"/>
      <c r="P105" s="1"/>
      <c r="R105" s="1"/>
      <c r="S105" s="1"/>
    </row>
    <row r="106">
      <c r="A106" s="1" t="s">
        <v>65</v>
      </c>
      <c r="B106" s="1" t="str">
        <f>E106</f>
        <v>Mission</v>
      </c>
      <c r="C106" s="1" t="str">
        <f>F106</f>
        <v>M&amp;B</v>
      </c>
      <c r="D106" s="1" t="s">
        <v>159</v>
      </c>
      <c r="E106" s="1" t="s">
        <v>23</v>
      </c>
      <c r="F106" s="1" t="s">
        <v>142</v>
      </c>
      <c r="G106" s="1" t="s">
        <v>143</v>
      </c>
      <c r="H106" s="1" t="s">
        <v>142</v>
      </c>
      <c r="I106" s="1" t="s">
        <v>160</v>
      </c>
      <c r="J106" s="1" t="s">
        <v>161</v>
      </c>
      <c r="K106" s="1">
        <f>IF(B106=B105,K105,K105+1)</f>
        <v>36</v>
      </c>
      <c r="L106" s="1"/>
      <c r="M106" s="1"/>
      <c r="N106" s="1"/>
      <c r="O106" s="1"/>
      <c r="P106" s="1"/>
      <c r="R106" s="1"/>
      <c r="S106" s="1"/>
    </row>
    <row r="107">
      <c r="A107" s="1" t="s">
        <v>65</v>
      </c>
      <c r="B107" s="1" t="str">
        <f>E107</f>
        <v>Mission</v>
      </c>
      <c r="C107" s="1" t="str">
        <f>F107</f>
        <v>M&amp;B</v>
      </c>
      <c r="D107" t="s">
        <v>162</v>
      </c>
      <c r="E107" s="1" t="s">
        <v>23</v>
      </c>
      <c r="F107" s="1" t="s">
        <v>142</v>
      </c>
      <c r="G107" s="1" t="s">
        <v>143</v>
      </c>
      <c r="H107" s="1" t="s">
        <v>142</v>
      </c>
      <c r="I107" s="1" t="s">
        <v>160</v>
      </c>
      <c r="J107" s="1" t="s">
        <v>161</v>
      </c>
      <c r="K107" s="1">
        <f>IF(B107=B106,K106,K106+1)</f>
        <v>36</v>
      </c>
      <c r="L107" s="1"/>
      <c r="M107" s="1"/>
      <c r="N107" s="1"/>
      <c r="O107" s="1"/>
      <c r="P107" s="1"/>
      <c r="R107" s="1"/>
      <c r="S107" s="1"/>
    </row>
    <row r="108">
      <c r="A108" s="1" t="s">
        <v>65</v>
      </c>
      <c r="B108" s="1" t="str">
        <f>E108</f>
        <v>Mission</v>
      </c>
      <c r="C108" s="1" t="str">
        <f>F108</f>
        <v>M&amp;B</v>
      </c>
      <c r="D108" s="1" t="s">
        <v>163</v>
      </c>
      <c r="E108" s="1" t="s">
        <v>23</v>
      </c>
      <c r="F108" s="1" t="s">
        <v>142</v>
      </c>
      <c r="G108" s="1" t="s">
        <v>143</v>
      </c>
      <c r="H108" s="1" t="s">
        <v>142</v>
      </c>
      <c r="I108" s="1" t="s">
        <v>160</v>
      </c>
      <c r="J108" s="1" t="s">
        <v>161</v>
      </c>
      <c r="K108" s="1">
        <f>IF(B108=B107,K107,K107+1)</f>
        <v>36</v>
      </c>
      <c r="L108" s="1"/>
      <c r="M108" s="1"/>
      <c r="N108" s="1"/>
      <c r="O108" s="1"/>
      <c r="P108" s="1"/>
      <c r="R108" s="1"/>
      <c r="S108" s="1"/>
    </row>
    <row r="109">
      <c r="A109" s="1" t="s">
        <v>65</v>
      </c>
      <c r="B109" s="1" t="str">
        <f>E109</f>
        <v>Mission</v>
      </c>
      <c r="C109" s="1" t="str">
        <f>F109</f>
        <v>M&amp;B</v>
      </c>
      <c r="D109" t="s">
        <v>164</v>
      </c>
      <c r="E109" s="1" t="s">
        <v>23</v>
      </c>
      <c r="F109" s="1" t="s">
        <v>142</v>
      </c>
      <c r="G109" s="1" t="s">
        <v>143</v>
      </c>
      <c r="H109" s="1" t="s">
        <v>142</v>
      </c>
      <c r="I109" s="1" t="s">
        <v>160</v>
      </c>
      <c r="J109" s="1" t="s">
        <v>161</v>
      </c>
      <c r="K109" s="1">
        <f>IF(B109=B108,K108,K108+1)</f>
        <v>36</v>
      </c>
      <c r="L109" s="1"/>
      <c r="M109" s="1"/>
      <c r="N109" s="1"/>
      <c r="O109" s="1"/>
      <c r="P109" s="1"/>
      <c r="R109" s="1"/>
      <c r="S109" s="1"/>
    </row>
    <row r="110">
      <c r="A110" s="1" t="s">
        <v>65</v>
      </c>
      <c r="B110" s="1" t="str">
        <f>E110</f>
        <v>Mission</v>
      </c>
      <c r="C110" s="1" t="str">
        <f>F110</f>
        <v>M&amp;B</v>
      </c>
      <c r="D110" s="1" t="s">
        <v>165</v>
      </c>
      <c r="E110" s="1" t="s">
        <v>23</v>
      </c>
      <c r="F110" s="1" t="s">
        <v>142</v>
      </c>
      <c r="G110" s="1" t="s">
        <v>134</v>
      </c>
      <c r="H110" s="1" t="s">
        <v>142</v>
      </c>
      <c r="I110" s="1" t="s">
        <v>160</v>
      </c>
      <c r="J110" s="1" t="s">
        <v>166</v>
      </c>
      <c r="K110" s="1">
        <f>IF(B110=B109,K109,K109+1)</f>
        <v>36</v>
      </c>
      <c r="L110" s="1"/>
      <c r="M110" s="1"/>
      <c r="N110" s="1"/>
      <c r="O110" s="1"/>
      <c r="P110" s="1"/>
      <c r="R110" s="1"/>
      <c r="S110" s="1"/>
    </row>
    <row r="111">
      <c r="A111" s="1" t="s">
        <v>65</v>
      </c>
      <c r="B111" s="1" t="str">
        <f>E111</f>
        <v>Mission</v>
      </c>
      <c r="C111" s="1" t="str">
        <f>F111</f>
        <v>M&amp;B</v>
      </c>
      <c r="D111" s="1" t="s">
        <v>167</v>
      </c>
      <c r="E111" s="1" t="s">
        <v>23</v>
      </c>
      <c r="F111" s="1" t="s">
        <v>142</v>
      </c>
      <c r="G111" s="1" t="s">
        <v>143</v>
      </c>
      <c r="H111" s="1" t="s">
        <v>142</v>
      </c>
      <c r="I111" s="1" t="s">
        <v>160</v>
      </c>
      <c r="J111" s="1" t="s">
        <v>166</v>
      </c>
      <c r="K111" s="1">
        <f>IF(B111=B110,K110,K110+1)</f>
        <v>36</v>
      </c>
      <c r="L111" s="1"/>
      <c r="M111" s="1"/>
      <c r="N111" s="1"/>
      <c r="O111" s="1"/>
      <c r="P111" s="1"/>
      <c r="R111" s="1"/>
      <c r="S111" s="1"/>
    </row>
    <row r="112">
      <c r="A112" s="1" t="s">
        <v>65</v>
      </c>
      <c r="B112" s="1" t="str">
        <f>E112</f>
        <v>Mission</v>
      </c>
      <c r="C112" s="1" t="str">
        <f>F112</f>
        <v>M&amp;B</v>
      </c>
      <c r="D112" s="1" t="s">
        <v>168</v>
      </c>
      <c r="E112" s="1" t="s">
        <v>23</v>
      </c>
      <c r="F112" s="1" t="s">
        <v>142</v>
      </c>
      <c r="G112" s="1" t="s">
        <v>143</v>
      </c>
      <c r="H112" s="1" t="s">
        <v>142</v>
      </c>
      <c r="I112" s="1" t="s">
        <v>160</v>
      </c>
      <c r="J112" s="1" t="s">
        <v>166</v>
      </c>
      <c r="K112" s="1">
        <f>IF(B112=B111,K111,K111+1)</f>
        <v>36</v>
      </c>
      <c r="L112" s="1"/>
      <c r="M112" s="1"/>
      <c r="N112" s="1"/>
      <c r="O112" s="1"/>
      <c r="P112" s="1"/>
      <c r="R112" s="1"/>
      <c r="S112" s="1"/>
    </row>
    <row r="113">
      <c r="A113" s="1" t="s">
        <v>65</v>
      </c>
      <c r="B113" s="1" t="str">
        <f>E113</f>
        <v>Mission</v>
      </c>
      <c r="C113" s="1" t="str">
        <f>F113</f>
        <v>M&amp;B</v>
      </c>
      <c r="D113" s="1" t="s">
        <v>169</v>
      </c>
      <c r="E113" s="1" t="s">
        <v>23</v>
      </c>
      <c r="F113" s="1" t="s">
        <v>142</v>
      </c>
      <c r="G113" s="1" t="s">
        <v>143</v>
      </c>
      <c r="H113" s="1" t="s">
        <v>142</v>
      </c>
      <c r="I113" s="1" t="s">
        <v>160</v>
      </c>
      <c r="J113" s="1" t="s">
        <v>166</v>
      </c>
      <c r="K113" s="1">
        <f>IF(B113=B112,K112,K112+1)</f>
        <v>36</v>
      </c>
      <c r="L113" s="1"/>
      <c r="M113" s="1"/>
      <c r="N113" s="1"/>
      <c r="O113" s="1"/>
      <c r="P113" s="1"/>
      <c r="R113" s="1"/>
      <c r="S113" s="1"/>
    </row>
    <row r="114">
      <c r="A114" s="1" t="s">
        <v>65</v>
      </c>
      <c r="B114" s="1" t="str">
        <f>E114</f>
        <v>Personnel</v>
      </c>
      <c r="C114" s="1" t="str">
        <f>F114</f>
        <v xml:space="preserve">Wednesday lunch coordinator</v>
      </c>
      <c r="D114" s="1" t="s">
        <v>170</v>
      </c>
      <c r="E114" s="1" t="s">
        <v>67</v>
      </c>
      <c r="F114" s="1" t="s">
        <v>171</v>
      </c>
      <c r="G114" s="1" t="s">
        <v>67</v>
      </c>
      <c r="H114" s="1" t="s">
        <v>171</v>
      </c>
      <c r="I114" s="1" t="s">
        <v>160</v>
      </c>
      <c r="J114" s="1" t="s">
        <v>166</v>
      </c>
      <c r="K114" s="1">
        <f>IF(B114=B113,K113,K113+1)</f>
        <v>37</v>
      </c>
      <c r="L114" s="1"/>
      <c r="M114" s="1"/>
      <c r="N114" s="1"/>
      <c r="O114" s="1"/>
      <c r="P114" s="1"/>
      <c r="R114" s="1"/>
      <c r="S114" s="1"/>
    </row>
    <row r="115">
      <c r="A115" s="1" t="s">
        <v>65</v>
      </c>
      <c r="B115" s="1" t="str">
        <f>E115</f>
        <v>Personnel</v>
      </c>
      <c r="C115" s="1" t="str">
        <f>F115</f>
        <v xml:space="preserve">Wednesday lunch coordinator</v>
      </c>
      <c r="D115" s="1" t="s">
        <v>172</v>
      </c>
      <c r="E115" s="1" t="s">
        <v>67</v>
      </c>
      <c r="F115" s="1" t="s">
        <v>171</v>
      </c>
      <c r="G115" s="1" t="s">
        <v>67</v>
      </c>
      <c r="H115" s="1" t="s">
        <v>171</v>
      </c>
      <c r="I115" s="1" t="s">
        <v>160</v>
      </c>
      <c r="J115" s="1" t="s">
        <v>166</v>
      </c>
      <c r="K115" s="1">
        <f>IF(B115=B114,K114,K114+1)</f>
        <v>37</v>
      </c>
      <c r="L115" s="1"/>
      <c r="M115" s="1"/>
      <c r="N115" s="1"/>
      <c r="O115" s="1"/>
      <c r="P115" s="1"/>
      <c r="R115" s="1"/>
      <c r="S115" s="1"/>
    </row>
    <row r="116">
      <c r="A116" s="1" t="s">
        <v>65</v>
      </c>
      <c r="B116" s="1" t="str">
        <f>E116</f>
        <v>Personnel</v>
      </c>
      <c r="C116" s="1" t="str">
        <f>F116</f>
        <v xml:space="preserve">Wednesday lunch coordinator</v>
      </c>
      <c r="D116" t="s">
        <v>173</v>
      </c>
      <c r="E116" s="1" t="s">
        <v>67</v>
      </c>
      <c r="F116" s="1" t="s">
        <v>171</v>
      </c>
      <c r="G116" s="1" t="s">
        <v>67</v>
      </c>
      <c r="H116" s="1" t="s">
        <v>171</v>
      </c>
      <c r="I116" s="1" t="s">
        <v>160</v>
      </c>
      <c r="J116" s="1" t="s">
        <v>166</v>
      </c>
      <c r="K116" s="1">
        <f>IF(B116=B115,K115,K115+1)</f>
        <v>37</v>
      </c>
      <c r="L116" s="1"/>
      <c r="M116" s="1"/>
      <c r="N116" s="1"/>
      <c r="O116" s="1"/>
      <c r="P116" s="1"/>
      <c r="R116" s="1"/>
      <c r="S116" s="1"/>
    </row>
    <row r="117">
      <c r="A117" s="1" t="s">
        <v>65</v>
      </c>
      <c r="B117" s="1" t="str">
        <f>E117</f>
        <v>Operations</v>
      </c>
      <c r="C117" s="1" t="str">
        <f>F117</f>
        <v xml:space="preserve">Adult Ed</v>
      </c>
      <c r="D117" s="1" t="s">
        <v>174</v>
      </c>
      <c r="E117" s="1" t="s">
        <v>12</v>
      </c>
      <c r="F117" s="1" t="s">
        <v>175</v>
      </c>
      <c r="G117" s="1" t="s">
        <v>12</v>
      </c>
      <c r="H117" s="1" t="s">
        <v>175</v>
      </c>
      <c r="I117" s="1" t="s">
        <v>176</v>
      </c>
      <c r="J117" s="1" t="s">
        <v>176</v>
      </c>
      <c r="K117" s="1">
        <f>IF(B117=B116,K116,K116+1)</f>
        <v>38</v>
      </c>
      <c r="L117" s="1"/>
      <c r="M117" s="1"/>
      <c r="N117" s="1"/>
      <c r="O117" s="1"/>
      <c r="P117" s="1"/>
      <c r="R117" s="1"/>
      <c r="S117" s="1"/>
    </row>
    <row r="118">
      <c r="A118" s="1" t="s">
        <v>65</v>
      </c>
      <c r="B118" s="1" t="str">
        <f>E118</f>
        <v>Operations</v>
      </c>
      <c r="C118" s="1" t="str">
        <f>F118</f>
        <v xml:space="preserve">Adult Ed</v>
      </c>
      <c r="D118" s="1" t="s">
        <v>177</v>
      </c>
      <c r="E118" s="1" t="s">
        <v>12</v>
      </c>
      <c r="F118" s="1" t="s">
        <v>175</v>
      </c>
      <c r="G118" s="1" t="s">
        <v>12</v>
      </c>
      <c r="H118" s="1" t="s">
        <v>175</v>
      </c>
      <c r="I118" s="1" t="s">
        <v>176</v>
      </c>
      <c r="J118" s="1" t="s">
        <v>176</v>
      </c>
      <c r="K118" s="1">
        <f>IF(B118=B117,K117,K117+1)</f>
        <v>38</v>
      </c>
      <c r="L118" s="1"/>
      <c r="M118" s="1"/>
      <c r="N118" s="1"/>
      <c r="O118" s="1"/>
      <c r="P118" s="1"/>
      <c r="R118" s="1"/>
      <c r="S118" s="1"/>
    </row>
    <row r="119">
      <c r="A119" s="1" t="s">
        <v>65</v>
      </c>
      <c r="B119" s="1" t="str">
        <f>E119</f>
        <v>Operations</v>
      </c>
      <c r="C119" s="1" t="str">
        <f>F119</f>
        <v xml:space="preserve">Adult Ed</v>
      </c>
      <c r="D119" t="s">
        <v>178</v>
      </c>
      <c r="E119" s="1" t="s">
        <v>12</v>
      </c>
      <c r="F119" s="1" t="s">
        <v>175</v>
      </c>
      <c r="G119" s="1" t="s">
        <v>12</v>
      </c>
      <c r="H119" s="1" t="s">
        <v>175</v>
      </c>
      <c r="I119" s="1" t="s">
        <v>176</v>
      </c>
      <c r="J119" s="1" t="s">
        <v>176</v>
      </c>
      <c r="K119" s="1">
        <f>IF(B119=B118,K118,K118+1)</f>
        <v>38</v>
      </c>
      <c r="L119" s="1"/>
      <c r="M119" s="1"/>
      <c r="N119" s="1"/>
      <c r="O119" s="1"/>
      <c r="P119" s="1"/>
      <c r="R119" s="1"/>
      <c r="S119" s="1"/>
    </row>
    <row r="120">
      <c r="A120" s="1" t="s">
        <v>65</v>
      </c>
      <c r="B120" s="1" t="str">
        <f>E120</f>
        <v>Operations</v>
      </c>
      <c r="C120" s="1" t="str">
        <f>F120</f>
        <v xml:space="preserve">Adult Ed</v>
      </c>
      <c r="D120" s="1" t="s">
        <v>179</v>
      </c>
      <c r="E120" s="1" t="s">
        <v>12</v>
      </c>
      <c r="F120" s="1" t="s">
        <v>175</v>
      </c>
      <c r="G120" s="1" t="s">
        <v>12</v>
      </c>
      <c r="H120" s="1" t="s">
        <v>175</v>
      </c>
      <c r="I120" s="1" t="s">
        <v>176</v>
      </c>
      <c r="J120" s="1" t="s">
        <v>176</v>
      </c>
      <c r="K120" s="1">
        <f>IF(B120=B119,K119,K119+1)</f>
        <v>38</v>
      </c>
      <c r="L120" s="1"/>
      <c r="M120" s="1"/>
      <c r="N120" s="1"/>
      <c r="O120" s="1"/>
      <c r="P120" s="1"/>
      <c r="R120" s="1"/>
      <c r="S120" s="1"/>
    </row>
    <row r="121">
      <c r="A121" s="1" t="s">
        <v>65</v>
      </c>
      <c r="B121" s="1" t="str">
        <f>E121</f>
        <v>Operations</v>
      </c>
      <c r="C121" s="1" t="str">
        <f>F121</f>
        <v xml:space="preserve">Adult Ed</v>
      </c>
      <c r="D121" t="s">
        <v>180</v>
      </c>
      <c r="E121" s="1" t="s">
        <v>12</v>
      </c>
      <c r="F121" s="1" t="s">
        <v>175</v>
      </c>
      <c r="G121" s="1" t="s">
        <v>12</v>
      </c>
      <c r="H121" s="1" t="s">
        <v>175</v>
      </c>
      <c r="I121" s="1" t="s">
        <v>176</v>
      </c>
      <c r="J121" s="1" t="s">
        <v>176</v>
      </c>
      <c r="K121" s="1">
        <f>IF(B121=B120,K120,K120+1)</f>
        <v>38</v>
      </c>
      <c r="L121" s="1"/>
      <c r="M121" s="1"/>
      <c r="N121" s="1"/>
      <c r="O121" s="1"/>
      <c r="P121" s="1"/>
      <c r="R121" s="1"/>
      <c r="S121" s="1"/>
    </row>
    <row r="122">
      <c r="A122" s="1" t="s">
        <v>65</v>
      </c>
      <c r="B122" s="1" t="str">
        <f>E122</f>
        <v>Operations</v>
      </c>
      <c r="C122" s="1" t="str">
        <f>F122</f>
        <v xml:space="preserve">Adult Ed</v>
      </c>
      <c r="D122" s="1" t="s">
        <v>181</v>
      </c>
      <c r="E122" s="1" t="s">
        <v>12</v>
      </c>
      <c r="F122" s="1" t="s">
        <v>175</v>
      </c>
      <c r="G122" s="1" t="s">
        <v>12</v>
      </c>
      <c r="H122" s="1" t="s">
        <v>175</v>
      </c>
      <c r="I122" s="1" t="s">
        <v>176</v>
      </c>
      <c r="J122" s="1" t="s">
        <v>176</v>
      </c>
      <c r="K122" s="1">
        <f>IF(B122=B121,K121,K121+1)</f>
        <v>38</v>
      </c>
      <c r="L122" s="1"/>
      <c r="M122" s="1"/>
      <c r="N122" s="1"/>
      <c r="O122" s="1"/>
      <c r="P122" s="1"/>
      <c r="R122" s="1"/>
      <c r="S122" s="1"/>
    </row>
    <row r="123">
      <c r="A123" s="1" t="s">
        <v>65</v>
      </c>
      <c r="B123" s="1" t="str">
        <f>E123</f>
        <v>Operations</v>
      </c>
      <c r="C123" s="1" t="str">
        <f>F123</f>
        <v xml:space="preserve">Adult Ed</v>
      </c>
      <c r="D123" s="1" t="s">
        <v>182</v>
      </c>
      <c r="E123" s="1" t="s">
        <v>12</v>
      </c>
      <c r="F123" s="1" t="s">
        <v>175</v>
      </c>
      <c r="G123" s="1" t="s">
        <v>12</v>
      </c>
      <c r="H123" s="1" t="s">
        <v>175</v>
      </c>
      <c r="I123" s="1" t="s">
        <v>176</v>
      </c>
      <c r="J123" s="1" t="s">
        <v>176</v>
      </c>
      <c r="K123" s="1">
        <f>IF(B123=B122,K122,K122+1)</f>
        <v>38</v>
      </c>
      <c r="L123" s="1"/>
      <c r="M123" s="1"/>
      <c r="N123" s="1"/>
      <c r="O123" s="1"/>
      <c r="P123" s="1"/>
      <c r="R123" s="1"/>
      <c r="S123" s="1"/>
    </row>
    <row r="124">
      <c r="A124" s="1" t="s">
        <v>65</v>
      </c>
      <c r="B124" s="1" t="str">
        <f>E124</f>
        <v>Operations</v>
      </c>
      <c r="C124" s="1" t="str">
        <f>F124</f>
        <v xml:space="preserve">Adult Ed</v>
      </c>
      <c r="D124" s="1" t="s">
        <v>183</v>
      </c>
      <c r="E124" s="1" t="s">
        <v>12</v>
      </c>
      <c r="F124" s="1" t="s">
        <v>175</v>
      </c>
      <c r="G124" s="1" t="s">
        <v>12</v>
      </c>
      <c r="H124" s="1" t="s">
        <v>175</v>
      </c>
      <c r="I124" s="1" t="s">
        <v>176</v>
      </c>
      <c r="J124" s="1" t="s">
        <v>176</v>
      </c>
      <c r="K124" s="1">
        <f>IF(B124=B123,K123,K123+1)</f>
        <v>38</v>
      </c>
      <c r="L124" s="1"/>
      <c r="M124" s="1"/>
      <c r="N124" s="1"/>
      <c r="O124" s="1"/>
      <c r="P124" s="1"/>
      <c r="R124" s="1"/>
      <c r="S124" s="1"/>
    </row>
    <row r="125">
      <c r="A125" s="1" t="s">
        <v>65</v>
      </c>
      <c r="B125" s="1" t="str">
        <f>E125</f>
        <v>Operations</v>
      </c>
      <c r="C125" s="1" t="str">
        <f>F125</f>
        <v xml:space="preserve">Adult Ed</v>
      </c>
      <c r="D125" s="1" t="s">
        <v>184</v>
      </c>
      <c r="E125" s="1" t="s">
        <v>12</v>
      </c>
      <c r="F125" s="1" t="s">
        <v>175</v>
      </c>
      <c r="G125" s="1" t="s">
        <v>12</v>
      </c>
      <c r="H125" s="1" t="s">
        <v>175</v>
      </c>
      <c r="I125" s="1" t="s">
        <v>176</v>
      </c>
      <c r="J125" s="1" t="s">
        <v>176</v>
      </c>
      <c r="K125" s="1">
        <f>IF(B125=B124,K124,K124+1)</f>
        <v>38</v>
      </c>
      <c r="L125" s="1"/>
      <c r="M125" s="1"/>
      <c r="N125" s="1"/>
      <c r="O125" s="1"/>
      <c r="P125" s="1"/>
      <c r="R125" s="1"/>
      <c r="S125" s="1"/>
    </row>
    <row r="126">
      <c r="A126" s="1" t="s">
        <v>65</v>
      </c>
      <c r="B126" s="1" t="str">
        <f>E126</f>
        <v>Operations</v>
      </c>
      <c r="C126" s="1" t="str">
        <f>F126</f>
        <v xml:space="preserve">Adult Ed</v>
      </c>
      <c r="D126" s="1" t="s">
        <v>185</v>
      </c>
      <c r="E126" s="1" t="s">
        <v>12</v>
      </c>
      <c r="F126" s="1" t="s">
        <v>175</v>
      </c>
      <c r="G126" s="1" t="s">
        <v>12</v>
      </c>
      <c r="H126" s="1" t="s">
        <v>175</v>
      </c>
      <c r="I126" s="1" t="s">
        <v>176</v>
      </c>
      <c r="J126" s="1" t="s">
        <v>176</v>
      </c>
      <c r="K126" s="1">
        <f>IF(B126=B125,K125,K125+1)</f>
        <v>38</v>
      </c>
      <c r="L126" s="1"/>
      <c r="M126" s="1"/>
      <c r="N126" s="1"/>
      <c r="O126" s="1"/>
      <c r="P126" s="1"/>
      <c r="R126" s="1"/>
      <c r="S126" s="1"/>
    </row>
    <row r="127">
      <c r="A127" s="1" t="s">
        <v>65</v>
      </c>
      <c r="B127" s="1" t="str">
        <f>E127</f>
        <v>Operations</v>
      </c>
      <c r="C127" s="1" t="str">
        <f>F127</f>
        <v xml:space="preserve">Adult Ed</v>
      </c>
      <c r="D127" s="1" t="s">
        <v>186</v>
      </c>
      <c r="E127" s="1" t="s">
        <v>12</v>
      </c>
      <c r="F127" s="1" t="s">
        <v>175</v>
      </c>
      <c r="G127" s="1" t="s">
        <v>12</v>
      </c>
      <c r="H127" s="1" t="s">
        <v>175</v>
      </c>
      <c r="I127" s="1" t="s">
        <v>176</v>
      </c>
      <c r="J127" s="1" t="s">
        <v>176</v>
      </c>
      <c r="K127" s="1">
        <f>IF(B127=B126,K126,K126+1)</f>
        <v>38</v>
      </c>
      <c r="L127" s="1"/>
      <c r="M127" s="1"/>
      <c r="N127" s="1"/>
      <c r="O127" s="1"/>
      <c r="P127" s="1"/>
      <c r="R127" s="1"/>
      <c r="S127" s="1"/>
    </row>
    <row r="128">
      <c r="A128" s="1" t="s">
        <v>65</v>
      </c>
      <c r="B128" s="1" t="str">
        <f>E128</f>
        <v>Operations</v>
      </c>
      <c r="C128" s="1" t="str">
        <f>F128</f>
        <v xml:space="preserve">Adult Ed</v>
      </c>
      <c r="D128" s="1" t="s">
        <v>187</v>
      </c>
      <c r="E128" s="1" t="s">
        <v>12</v>
      </c>
      <c r="F128" s="1" t="s">
        <v>175</v>
      </c>
      <c r="G128" s="1" t="s">
        <v>12</v>
      </c>
      <c r="H128" s="1" t="s">
        <v>175</v>
      </c>
      <c r="I128" s="1" t="s">
        <v>176</v>
      </c>
      <c r="J128" s="1" t="s">
        <v>176</v>
      </c>
      <c r="K128" s="1">
        <f>IF(B128=B127,K127,K127+1)</f>
        <v>38</v>
      </c>
      <c r="L128" s="1"/>
      <c r="M128" s="1"/>
      <c r="N128" s="1"/>
      <c r="O128" s="1"/>
      <c r="P128" s="1"/>
      <c r="R128" s="1"/>
      <c r="S128" s="1"/>
    </row>
    <row r="129">
      <c r="A129" s="1" t="s">
        <v>65</v>
      </c>
      <c r="B129" s="1" t="str">
        <f>E129</f>
        <v>Personnel</v>
      </c>
      <c r="C129" s="1" t="str">
        <f>F129</f>
        <v xml:space="preserve">Assoc. Pastor</v>
      </c>
      <c r="D129" s="1" t="s">
        <v>188</v>
      </c>
      <c r="E129" s="1" t="s">
        <v>67</v>
      </c>
      <c r="F129" s="1" t="s">
        <v>189</v>
      </c>
      <c r="G129" s="1" t="s">
        <v>67</v>
      </c>
      <c r="H129" s="1" t="s">
        <v>189</v>
      </c>
      <c r="I129" s="1" t="s">
        <v>190</v>
      </c>
      <c r="J129" s="1" t="s">
        <v>191</v>
      </c>
      <c r="K129" s="1">
        <f>IF(B129=B128,K128,K128+1)</f>
        <v>39</v>
      </c>
      <c r="L129" s="1"/>
      <c r="M129" s="1"/>
      <c r="N129" s="1"/>
      <c r="O129" s="1"/>
      <c r="P129" s="1"/>
      <c r="R129" s="1"/>
      <c r="S129" s="1"/>
    </row>
    <row r="130">
      <c r="A130" s="1" t="s">
        <v>65</v>
      </c>
      <c r="B130" s="1" t="str">
        <f>E130</f>
        <v>Personnel</v>
      </c>
      <c r="C130" s="1" t="str">
        <f>F130</f>
        <v xml:space="preserve">Assoc. Pastor</v>
      </c>
      <c r="D130" s="1" t="s">
        <v>192</v>
      </c>
      <c r="E130" s="1" t="s">
        <v>67</v>
      </c>
      <c r="F130" s="1" t="s">
        <v>189</v>
      </c>
      <c r="G130" s="1" t="s">
        <v>67</v>
      </c>
      <c r="H130" s="1" t="s">
        <v>189</v>
      </c>
      <c r="I130" s="1" t="s">
        <v>190</v>
      </c>
      <c r="J130" s="1" t="s">
        <v>191</v>
      </c>
      <c r="K130" s="1">
        <f>IF(B130=B129,K129,K129+1)</f>
        <v>39</v>
      </c>
      <c r="L130" s="1"/>
      <c r="M130" s="1"/>
      <c r="N130" s="1"/>
      <c r="O130" s="1"/>
      <c r="P130" s="1"/>
      <c r="R130" s="1"/>
      <c r="S130" s="1"/>
    </row>
    <row r="131">
      <c r="A131" s="1" t="s">
        <v>65</v>
      </c>
      <c r="B131" s="1" t="str">
        <f>E131</f>
        <v>Personnel</v>
      </c>
      <c r="C131" s="1" t="str">
        <f>F131</f>
        <v xml:space="preserve">Assoc. Pastor</v>
      </c>
      <c r="D131" s="1" t="s">
        <v>193</v>
      </c>
      <c r="E131" s="1" t="s">
        <v>67</v>
      </c>
      <c r="F131" s="1" t="s">
        <v>189</v>
      </c>
      <c r="G131" s="1" t="s">
        <v>67</v>
      </c>
      <c r="H131" s="1" t="s">
        <v>189</v>
      </c>
      <c r="I131" s="1" t="s">
        <v>190</v>
      </c>
      <c r="J131" s="1" t="s">
        <v>191</v>
      </c>
      <c r="K131" s="1">
        <f>IF(B131=B130,K130,K130+1)</f>
        <v>39</v>
      </c>
      <c r="L131" s="1"/>
      <c r="M131" s="1"/>
      <c r="N131" s="1"/>
      <c r="O131" s="1"/>
      <c r="P131" s="1"/>
      <c r="R131" s="1"/>
      <c r="S131" s="1"/>
    </row>
    <row r="132">
      <c r="A132" s="1" t="s">
        <v>65</v>
      </c>
      <c r="B132" s="1" t="str">
        <f>E132</f>
        <v>Personnel</v>
      </c>
      <c r="C132" s="1" t="str">
        <f>F132</f>
        <v xml:space="preserve">Assoc. Pastor</v>
      </c>
      <c r="D132" s="1" t="s">
        <v>194</v>
      </c>
      <c r="E132" s="1" t="s">
        <v>67</v>
      </c>
      <c r="F132" s="1" t="s">
        <v>189</v>
      </c>
      <c r="G132" s="1" t="s">
        <v>67</v>
      </c>
      <c r="H132" s="1" t="s">
        <v>189</v>
      </c>
      <c r="I132" s="1" t="s">
        <v>190</v>
      </c>
      <c r="J132" s="1" t="s">
        <v>191</v>
      </c>
      <c r="K132" s="1">
        <f>IF(B132=B131,K131,K131+1)</f>
        <v>39</v>
      </c>
      <c r="L132" s="1"/>
      <c r="M132" s="1"/>
      <c r="N132" s="1"/>
      <c r="O132" s="1"/>
      <c r="P132" s="1"/>
      <c r="R132" s="1"/>
      <c r="S132" s="1"/>
    </row>
    <row r="133">
      <c r="A133" s="1" t="s">
        <v>65</v>
      </c>
      <c r="B133" s="1" t="str">
        <f>E133</f>
        <v>Personnel</v>
      </c>
      <c r="C133" s="1" t="str">
        <f>F133</f>
        <v xml:space="preserve">Assoc. Pastor</v>
      </c>
      <c r="D133" s="1" t="s">
        <v>195</v>
      </c>
      <c r="E133" s="1" t="s">
        <v>67</v>
      </c>
      <c r="F133" s="1" t="s">
        <v>189</v>
      </c>
      <c r="G133" s="1" t="s">
        <v>67</v>
      </c>
      <c r="H133" s="1" t="s">
        <v>189</v>
      </c>
      <c r="I133" s="1" t="s">
        <v>190</v>
      </c>
      <c r="J133" s="1" t="s">
        <v>191</v>
      </c>
      <c r="K133" s="1">
        <f>IF(B133=B132,K132,K132+1)</f>
        <v>39</v>
      </c>
      <c r="L133" s="1"/>
      <c r="M133" s="1"/>
      <c r="N133" s="1"/>
      <c r="O133" s="1"/>
      <c r="P133" s="1"/>
      <c r="R133" s="1"/>
      <c r="S133" s="1"/>
    </row>
    <row r="134">
      <c r="A134" s="1" t="s">
        <v>65</v>
      </c>
      <c r="B134" s="1" t="str">
        <f>E134</f>
        <v>Personnel</v>
      </c>
      <c r="C134" s="1" t="str">
        <f>F134</f>
        <v xml:space="preserve">Assoc. Pastor</v>
      </c>
      <c r="D134" s="1" t="s">
        <v>196</v>
      </c>
      <c r="E134" s="1" t="s">
        <v>67</v>
      </c>
      <c r="F134" s="1" t="s">
        <v>189</v>
      </c>
      <c r="G134" s="1" t="s">
        <v>67</v>
      </c>
      <c r="H134" s="1" t="s">
        <v>189</v>
      </c>
      <c r="I134" s="1" t="s">
        <v>190</v>
      </c>
      <c r="J134" s="1" t="s">
        <v>191</v>
      </c>
      <c r="K134" s="1">
        <f>IF(B134=B133,K133,K133+1)</f>
        <v>39</v>
      </c>
      <c r="L134" s="1"/>
      <c r="M134" s="1"/>
      <c r="N134" s="1"/>
      <c r="O134" s="1"/>
      <c r="P134" s="1"/>
      <c r="R134" s="1"/>
      <c r="S134" s="1"/>
    </row>
    <row r="135">
      <c r="A135" s="1" t="s">
        <v>65</v>
      </c>
      <c r="B135" s="1" t="str">
        <f>E135</f>
        <v>Personnel</v>
      </c>
      <c r="C135" s="1" t="str">
        <f>F135</f>
        <v xml:space="preserve">Assoc. Pastor</v>
      </c>
      <c r="D135" s="1" t="s">
        <v>197</v>
      </c>
      <c r="E135" s="1" t="s">
        <v>67</v>
      </c>
      <c r="F135" s="1" t="s">
        <v>189</v>
      </c>
      <c r="G135" s="1" t="s">
        <v>67</v>
      </c>
      <c r="H135" s="1" t="s">
        <v>189</v>
      </c>
      <c r="I135" s="1" t="s">
        <v>190</v>
      </c>
      <c r="J135" s="1" t="s">
        <v>191</v>
      </c>
      <c r="K135" s="1">
        <f>IF(B135=B134,K134,K134+1)</f>
        <v>39</v>
      </c>
      <c r="L135" s="1"/>
      <c r="M135" s="1"/>
      <c r="N135" s="1"/>
      <c r="O135" s="1"/>
      <c r="P135" s="1"/>
      <c r="R135" s="1"/>
      <c r="S135" s="1"/>
    </row>
    <row r="136">
      <c r="A136" s="1" t="s">
        <v>65</v>
      </c>
      <c r="B136" s="1" t="str">
        <f>E136</f>
        <v>Personnel</v>
      </c>
      <c r="C136" s="1" t="str">
        <f>F136</f>
        <v xml:space="preserve">Assoc. Pastor</v>
      </c>
      <c r="D136" s="1" t="s">
        <v>198</v>
      </c>
      <c r="E136" s="1" t="s">
        <v>67</v>
      </c>
      <c r="F136" s="1" t="s">
        <v>189</v>
      </c>
      <c r="G136" s="1" t="s">
        <v>67</v>
      </c>
      <c r="H136" s="1" t="s">
        <v>189</v>
      </c>
      <c r="I136" s="1" t="s">
        <v>190</v>
      </c>
      <c r="J136" s="1" t="s">
        <v>191</v>
      </c>
      <c r="K136" s="1">
        <f>IF(B136=B135,K135,K135+1)</f>
        <v>39</v>
      </c>
      <c r="L136" s="1"/>
      <c r="M136" s="1"/>
      <c r="N136" s="1"/>
      <c r="O136" s="1"/>
      <c r="P136" s="1"/>
      <c r="R136" s="1"/>
      <c r="S136" s="1"/>
    </row>
    <row r="137">
      <c r="A137" s="1" t="s">
        <v>65</v>
      </c>
      <c r="B137" s="1" t="str">
        <f>E137</f>
        <v>Operations</v>
      </c>
      <c r="C137" s="1" t="str">
        <f>F137</f>
        <v xml:space="preserve">Care &amp; Support</v>
      </c>
      <c r="D137" s="1" t="s">
        <v>199</v>
      </c>
      <c r="E137" s="1" t="s">
        <v>12</v>
      </c>
      <c r="F137" s="1" t="s">
        <v>200</v>
      </c>
      <c r="G137" s="1" t="s">
        <v>12</v>
      </c>
      <c r="H137" s="1" t="s">
        <v>200</v>
      </c>
      <c r="I137" s="1" t="s">
        <v>190</v>
      </c>
      <c r="J137" s="1" t="s">
        <v>201</v>
      </c>
      <c r="K137" s="1">
        <f>IF(B137=B136,K136,K136+1)</f>
        <v>40</v>
      </c>
      <c r="L137" s="1"/>
      <c r="M137" s="1"/>
      <c r="N137" s="1"/>
      <c r="O137" s="1"/>
      <c r="P137" s="1"/>
      <c r="R137" s="1"/>
      <c r="S137" s="1"/>
    </row>
    <row r="138">
      <c r="A138" s="1" t="s">
        <v>65</v>
      </c>
      <c r="B138" s="1" t="str">
        <f>E138</f>
        <v>Operations</v>
      </c>
      <c r="C138" s="1" t="str">
        <f>F138</f>
        <v xml:space="preserve">Care &amp; Support</v>
      </c>
      <c r="D138" s="1" t="s">
        <v>202</v>
      </c>
      <c r="E138" s="1" t="s">
        <v>12</v>
      </c>
      <c r="F138" s="1" t="s">
        <v>200</v>
      </c>
      <c r="G138" s="1" t="s">
        <v>12</v>
      </c>
      <c r="H138" s="1" t="s">
        <v>200</v>
      </c>
      <c r="I138" s="1" t="s">
        <v>190</v>
      </c>
      <c r="J138" s="1" t="s">
        <v>201</v>
      </c>
      <c r="K138" s="1">
        <f>IF(B138=B137,K137,K137+1)</f>
        <v>40</v>
      </c>
      <c r="L138" s="1"/>
      <c r="M138" s="1"/>
      <c r="N138" s="1"/>
      <c r="O138" s="1"/>
      <c r="P138" s="1"/>
      <c r="R138" s="1"/>
      <c r="S138" s="1"/>
    </row>
    <row r="139">
      <c r="A139" s="1" t="s">
        <v>65</v>
      </c>
      <c r="B139" s="1" t="str">
        <f>E139</f>
        <v>Operations</v>
      </c>
      <c r="C139" s="1" t="str">
        <f>F139</f>
        <v xml:space="preserve">Care &amp; Support</v>
      </c>
      <c r="D139" s="1" t="s">
        <v>203</v>
      </c>
      <c r="E139" s="1" t="s">
        <v>12</v>
      </c>
      <c r="F139" s="1" t="s">
        <v>200</v>
      </c>
      <c r="G139" s="1" t="s">
        <v>12</v>
      </c>
      <c r="H139" s="1" t="s">
        <v>200</v>
      </c>
      <c r="I139" s="1" t="s">
        <v>190</v>
      </c>
      <c r="J139" s="1" t="s">
        <v>201</v>
      </c>
      <c r="K139" s="1">
        <f>IF(B139=B138,K138,K138+1)</f>
        <v>40</v>
      </c>
      <c r="L139" s="1"/>
      <c r="M139" s="1"/>
      <c r="N139" s="1"/>
      <c r="O139" s="1"/>
      <c r="P139" s="1"/>
      <c r="R139" s="1"/>
      <c r="S139" s="1"/>
    </row>
    <row r="140">
      <c r="A140" s="1" t="s">
        <v>65</v>
      </c>
      <c r="B140" s="1" t="str">
        <f>E140</f>
        <v>Operations</v>
      </c>
      <c r="C140" s="1" t="str">
        <f>F140</f>
        <v xml:space="preserve">Care &amp; Support</v>
      </c>
      <c r="D140" s="1" t="s">
        <v>204</v>
      </c>
      <c r="E140" s="1" t="s">
        <v>12</v>
      </c>
      <c r="F140" s="1" t="s">
        <v>200</v>
      </c>
      <c r="G140" s="1" t="s">
        <v>12</v>
      </c>
      <c r="H140" s="1" t="s">
        <v>200</v>
      </c>
      <c r="I140" s="1" t="s">
        <v>190</v>
      </c>
      <c r="J140" s="1" t="s">
        <v>201</v>
      </c>
      <c r="K140" s="1">
        <f>IF(B140=B139,K139,K139+1)</f>
        <v>40</v>
      </c>
      <c r="L140" s="1"/>
      <c r="M140" s="1"/>
      <c r="N140" s="1"/>
      <c r="O140" s="1"/>
      <c r="P140" s="1"/>
      <c r="R140" s="1"/>
      <c r="S140" s="1"/>
    </row>
    <row r="141">
      <c r="A141" s="1" t="s">
        <v>65</v>
      </c>
      <c r="B141" s="1" t="str">
        <f>E141</f>
        <v>Operations</v>
      </c>
      <c r="C141" s="1" t="str">
        <f>F141</f>
        <v xml:space="preserve">Care &amp; Support</v>
      </c>
      <c r="D141" s="1" t="s">
        <v>205</v>
      </c>
      <c r="E141" s="1" t="s">
        <v>12</v>
      </c>
      <c r="F141" s="1" t="s">
        <v>200</v>
      </c>
      <c r="G141" s="1" t="s">
        <v>12</v>
      </c>
      <c r="H141" s="1" t="s">
        <v>200</v>
      </c>
      <c r="I141" s="1" t="s">
        <v>190</v>
      </c>
      <c r="J141" s="1" t="s">
        <v>201</v>
      </c>
      <c r="K141" s="1">
        <f>IF(B141=B140,K140,K140+1)</f>
        <v>40</v>
      </c>
      <c r="L141" s="1"/>
      <c r="M141" s="1"/>
      <c r="N141" s="1"/>
      <c r="O141" s="1"/>
      <c r="P141" s="1"/>
      <c r="R141" s="1"/>
      <c r="S141" s="1"/>
    </row>
    <row r="142">
      <c r="A142" s="1" t="s">
        <v>65</v>
      </c>
      <c r="B142" s="1" t="str">
        <f>E142</f>
        <v>Operations</v>
      </c>
      <c r="C142" s="1" t="str">
        <f>F142</f>
        <v>Membership</v>
      </c>
      <c r="D142" s="1" t="s">
        <v>206</v>
      </c>
      <c r="E142" s="1" t="s">
        <v>12</v>
      </c>
      <c r="F142" s="1" t="s">
        <v>207</v>
      </c>
      <c r="G142" s="1" t="s">
        <v>12</v>
      </c>
      <c r="H142" s="1" t="s">
        <v>207</v>
      </c>
      <c r="I142" s="1" t="s">
        <v>208</v>
      </c>
      <c r="J142" s="1" t="s">
        <v>208</v>
      </c>
      <c r="K142" s="1">
        <f>IF(B142=B141,K141,K141+1)</f>
        <v>40</v>
      </c>
      <c r="L142" s="1"/>
      <c r="M142" s="1"/>
      <c r="N142" s="1"/>
      <c r="O142" s="1"/>
      <c r="P142" s="1"/>
      <c r="R142" s="1"/>
      <c r="S142" s="1"/>
    </row>
    <row r="143">
      <c r="A143" s="1" t="s">
        <v>65</v>
      </c>
      <c r="B143" s="1" t="str">
        <f>E143</f>
        <v>Operations</v>
      </c>
      <c r="C143" s="1" t="str">
        <f>F143</f>
        <v>Membership</v>
      </c>
      <c r="D143" s="1" t="s">
        <v>209</v>
      </c>
      <c r="E143" s="1" t="s">
        <v>12</v>
      </c>
      <c r="F143" s="1" t="s">
        <v>207</v>
      </c>
      <c r="G143" s="1" t="s">
        <v>12</v>
      </c>
      <c r="H143" s="1" t="s">
        <v>207</v>
      </c>
      <c r="I143" s="1" t="s">
        <v>208</v>
      </c>
      <c r="J143" s="1" t="s">
        <v>208</v>
      </c>
      <c r="K143" s="1">
        <f>IF(B143=B142,K142,K142+1)</f>
        <v>40</v>
      </c>
      <c r="L143" s="1"/>
      <c r="M143" s="1"/>
      <c r="N143" s="1"/>
      <c r="O143" s="1"/>
      <c r="P143" s="1"/>
      <c r="R143" s="1"/>
      <c r="S143" s="1"/>
    </row>
    <row r="144">
      <c r="A144" s="1" t="s">
        <v>65</v>
      </c>
      <c r="B144" s="1" t="str">
        <f>E144</f>
        <v>Operations</v>
      </c>
      <c r="C144" s="1" t="str">
        <f>F144</f>
        <v>Membership</v>
      </c>
      <c r="D144" s="1" t="s">
        <v>210</v>
      </c>
      <c r="E144" s="1" t="s">
        <v>12</v>
      </c>
      <c r="F144" s="1" t="s">
        <v>207</v>
      </c>
      <c r="G144" s="1" t="s">
        <v>12</v>
      </c>
      <c r="H144" s="1" t="s">
        <v>207</v>
      </c>
      <c r="I144" s="1" t="s">
        <v>208</v>
      </c>
      <c r="J144" s="1" t="s">
        <v>208</v>
      </c>
      <c r="K144" s="1">
        <f>IF(B144=B143,K143,K143+1)</f>
        <v>40</v>
      </c>
      <c r="L144" s="1"/>
      <c r="M144" s="1"/>
      <c r="N144" s="1"/>
      <c r="O144" s="1"/>
      <c r="P144" s="1"/>
      <c r="R144" s="1"/>
      <c r="S144" s="1"/>
    </row>
    <row r="145">
      <c r="A145" s="1" t="s">
        <v>65</v>
      </c>
      <c r="B145" s="1" t="str">
        <f>E145</f>
        <v>Operations</v>
      </c>
      <c r="C145" s="1" t="str">
        <f>F145</f>
        <v>Membership</v>
      </c>
      <c r="D145" s="1" t="s">
        <v>211</v>
      </c>
      <c r="E145" s="1" t="s">
        <v>12</v>
      </c>
      <c r="F145" s="1" t="s">
        <v>207</v>
      </c>
      <c r="G145" s="1" t="s">
        <v>12</v>
      </c>
      <c r="H145" s="1" t="s">
        <v>207</v>
      </c>
      <c r="I145" s="1" t="s">
        <v>208</v>
      </c>
      <c r="J145" s="1" t="s">
        <v>208</v>
      </c>
      <c r="K145" s="1">
        <f>IF(B145=B144,K144,K144+1)</f>
        <v>40</v>
      </c>
      <c r="L145" s="1"/>
      <c r="M145" s="1"/>
      <c r="N145" s="1"/>
      <c r="O145" s="1"/>
      <c r="P145" s="1"/>
      <c r="R145" s="1"/>
      <c r="S145" s="1"/>
    </row>
    <row r="146">
      <c r="A146" s="1" t="s">
        <v>65</v>
      </c>
      <c r="B146" s="1" t="str">
        <f>E146</f>
        <v>Mission</v>
      </c>
      <c r="C146" s="1" t="str">
        <f>F146</f>
        <v xml:space="preserve">Creation Care</v>
      </c>
      <c r="D146" s="1" t="s">
        <v>212</v>
      </c>
      <c r="E146" s="1" t="s">
        <v>23</v>
      </c>
      <c r="F146" s="1" t="s">
        <v>213</v>
      </c>
      <c r="G146" s="1" t="s">
        <v>143</v>
      </c>
      <c r="H146" s="1" t="s">
        <v>213</v>
      </c>
      <c r="I146" s="1" t="s">
        <v>214</v>
      </c>
      <c r="J146" s="1" t="s">
        <v>214</v>
      </c>
      <c r="K146" s="1">
        <f>IF(B146=B145,K145,K145+1)</f>
        <v>41</v>
      </c>
      <c r="L146" s="1"/>
      <c r="M146" s="1"/>
      <c r="N146" s="1"/>
      <c r="O146" s="1"/>
      <c r="P146" s="1"/>
      <c r="R146" s="1"/>
      <c r="S146" s="1"/>
    </row>
    <row r="147">
      <c r="A147" s="1" t="s">
        <v>65</v>
      </c>
      <c r="B147" s="1" t="str">
        <f>E147</f>
        <v>Mission</v>
      </c>
      <c r="C147" s="1" t="str">
        <f>F147</f>
        <v xml:space="preserve">Creation Care</v>
      </c>
      <c r="D147" s="1" t="s">
        <v>215</v>
      </c>
      <c r="E147" s="1" t="s">
        <v>23</v>
      </c>
      <c r="F147" s="1" t="s">
        <v>213</v>
      </c>
      <c r="G147" s="1" t="s">
        <v>143</v>
      </c>
      <c r="H147" s="1" t="s">
        <v>213</v>
      </c>
      <c r="I147" s="1" t="s">
        <v>214</v>
      </c>
      <c r="J147" s="1" t="s">
        <v>214</v>
      </c>
      <c r="K147" s="1">
        <f>IF(B147=B146,K146,K146+1)</f>
        <v>41</v>
      </c>
      <c r="L147" s="1"/>
      <c r="M147" s="1"/>
      <c r="N147" s="1"/>
      <c r="O147" s="1"/>
      <c r="P147" s="1"/>
      <c r="R147" s="1"/>
      <c r="S147" s="1"/>
    </row>
    <row r="148">
      <c r="A148" s="1" t="s">
        <v>65</v>
      </c>
      <c r="B148" s="1" t="str">
        <f>E148</f>
        <v>Mission</v>
      </c>
      <c r="C148" s="1" t="str">
        <f>F148</f>
        <v xml:space="preserve">Creation Care</v>
      </c>
      <c r="D148" s="1" t="s">
        <v>216</v>
      </c>
      <c r="E148" s="1" t="s">
        <v>23</v>
      </c>
      <c r="F148" s="1" t="s">
        <v>213</v>
      </c>
      <c r="G148" s="1" t="s">
        <v>143</v>
      </c>
      <c r="H148" s="1" t="s">
        <v>213</v>
      </c>
      <c r="I148" s="1" t="s">
        <v>214</v>
      </c>
      <c r="J148" s="1" t="s">
        <v>214</v>
      </c>
      <c r="K148" s="1">
        <f>IF(B148=B147,K147,K147+1)</f>
        <v>41</v>
      </c>
      <c r="L148" s="1"/>
      <c r="M148" s="1"/>
      <c r="N148" s="1"/>
      <c r="O148" s="1"/>
      <c r="P148" s="1"/>
      <c r="R148" s="1"/>
      <c r="S148" s="1"/>
    </row>
    <row r="149">
      <c r="A149" s="1" t="s">
        <v>65</v>
      </c>
      <c r="B149" s="1" t="str">
        <f>E149</f>
        <v>Mission</v>
      </c>
      <c r="C149" s="1" t="str">
        <f>F149</f>
        <v xml:space="preserve">Creation Care</v>
      </c>
      <c r="D149" s="1" t="s">
        <v>217</v>
      </c>
      <c r="E149" s="1" t="s">
        <v>23</v>
      </c>
      <c r="F149" s="1" t="s">
        <v>213</v>
      </c>
      <c r="G149" s="1" t="s">
        <v>143</v>
      </c>
      <c r="H149" s="1" t="s">
        <v>213</v>
      </c>
      <c r="I149" s="1" t="s">
        <v>214</v>
      </c>
      <c r="J149" s="1" t="s">
        <v>214</v>
      </c>
      <c r="K149" s="1">
        <f>IF(B149=B148,K148,K148+1)</f>
        <v>41</v>
      </c>
      <c r="L149" s="1"/>
      <c r="M149" s="1"/>
      <c r="N149" s="1"/>
      <c r="O149" s="1"/>
      <c r="P149" s="1"/>
      <c r="R149" s="1"/>
      <c r="S149" s="1"/>
    </row>
    <row r="150">
      <c r="A150" s="1" t="s">
        <v>65</v>
      </c>
      <c r="B150" s="1" t="str">
        <f>E150</f>
        <v>Personnel</v>
      </c>
      <c r="C150" s="1" t="str">
        <f>F150</f>
        <v>Maintenance</v>
      </c>
      <c r="D150" s="1" t="s">
        <v>218</v>
      </c>
      <c r="E150" s="1" t="s">
        <v>67</v>
      </c>
      <c r="F150" s="1" t="s">
        <v>219</v>
      </c>
      <c r="G150" s="1" t="s">
        <v>67</v>
      </c>
      <c r="H150" s="1" t="s">
        <v>219</v>
      </c>
      <c r="I150" s="1" t="s">
        <v>220</v>
      </c>
      <c r="J150" s="1" t="s">
        <v>221</v>
      </c>
      <c r="K150" s="1">
        <f>IF(B150=B149,K149,K149+1)</f>
        <v>42</v>
      </c>
      <c r="L150" s="1"/>
      <c r="M150" s="1"/>
      <c r="N150" s="1"/>
      <c r="O150" s="1"/>
      <c r="P150" s="1"/>
      <c r="R150" s="1"/>
      <c r="S150" s="1"/>
    </row>
    <row r="151">
      <c r="A151" s="1" t="s">
        <v>65</v>
      </c>
      <c r="B151" s="1" t="str">
        <f>E151</f>
        <v>Personnel</v>
      </c>
      <c r="C151" s="1" t="str">
        <f>F151</f>
        <v>Maintenance</v>
      </c>
      <c r="D151" s="1" t="s">
        <v>222</v>
      </c>
      <c r="E151" s="1" t="s">
        <v>67</v>
      </c>
      <c r="F151" s="1" t="s">
        <v>219</v>
      </c>
      <c r="G151" s="1" t="s">
        <v>67</v>
      </c>
      <c r="H151" s="1" t="s">
        <v>219</v>
      </c>
      <c r="I151" s="1" t="s">
        <v>220</v>
      </c>
      <c r="J151" s="1" t="s">
        <v>221</v>
      </c>
      <c r="K151" s="1">
        <f>IF(B151=B150,K150,K150+1)</f>
        <v>42</v>
      </c>
      <c r="L151" s="1"/>
      <c r="M151" s="1"/>
      <c r="N151" s="1"/>
      <c r="O151" s="1"/>
      <c r="P151" s="1"/>
      <c r="R151" s="1"/>
      <c r="S151" s="1"/>
    </row>
    <row r="152">
      <c r="A152" s="1" t="s">
        <v>65</v>
      </c>
      <c r="B152" s="1" t="str">
        <f>E152</f>
        <v>Personnel</v>
      </c>
      <c r="C152" s="1" t="str">
        <f>F152</f>
        <v>Maintenance</v>
      </c>
      <c r="D152" s="1" t="s">
        <v>223</v>
      </c>
      <c r="E152" s="1" t="s">
        <v>67</v>
      </c>
      <c r="F152" s="1" t="s">
        <v>219</v>
      </c>
      <c r="G152" s="1" t="s">
        <v>67</v>
      </c>
      <c r="H152" s="1" t="s">
        <v>219</v>
      </c>
      <c r="I152" s="1" t="s">
        <v>220</v>
      </c>
      <c r="J152" s="1" t="s">
        <v>221</v>
      </c>
      <c r="K152" s="1">
        <f>IF(B152=B151,K151,K151+1)</f>
        <v>42</v>
      </c>
      <c r="L152" s="1"/>
      <c r="M152" s="1"/>
      <c r="N152" s="1"/>
      <c r="O152" s="1"/>
      <c r="P152" s="1"/>
      <c r="R152" s="1"/>
      <c r="S152" s="1"/>
    </row>
    <row r="153">
      <c r="A153" s="1" t="s">
        <v>65</v>
      </c>
      <c r="B153" s="1" t="str">
        <f>E153</f>
        <v>Personnel</v>
      </c>
      <c r="C153" s="1" t="str">
        <f>F153</f>
        <v>Maintenance</v>
      </c>
      <c r="D153" s="1" t="s">
        <v>224</v>
      </c>
      <c r="E153" s="1" t="s">
        <v>67</v>
      </c>
      <c r="F153" s="1" t="s">
        <v>219</v>
      </c>
      <c r="G153" s="1" t="s">
        <v>67</v>
      </c>
      <c r="H153" s="1" t="s">
        <v>219</v>
      </c>
      <c r="I153" s="1" t="s">
        <v>220</v>
      </c>
      <c r="J153" s="1" t="s">
        <v>221</v>
      </c>
      <c r="K153" s="1">
        <f>IF(B153=B152,K152,K152+1)</f>
        <v>42</v>
      </c>
      <c r="L153" s="1"/>
      <c r="M153" s="1"/>
      <c r="N153" s="1"/>
      <c r="O153" s="1"/>
      <c r="P153" s="1"/>
      <c r="R153" s="1"/>
      <c r="S153" s="1"/>
    </row>
    <row r="154">
      <c r="A154" s="1" t="s">
        <v>65</v>
      </c>
      <c r="B154" s="1" t="str">
        <f>E154</f>
        <v>Personnel</v>
      </c>
      <c r="C154" s="1" t="str">
        <f>F154</f>
        <v>Maintenance</v>
      </c>
      <c r="D154" s="1" t="s">
        <v>225</v>
      </c>
      <c r="E154" s="1" t="s">
        <v>67</v>
      </c>
      <c r="F154" s="1" t="s">
        <v>219</v>
      </c>
      <c r="G154" s="1" t="s">
        <v>67</v>
      </c>
      <c r="H154" s="1" t="s">
        <v>219</v>
      </c>
      <c r="I154" s="1" t="s">
        <v>220</v>
      </c>
      <c r="J154" s="1" t="s">
        <v>221</v>
      </c>
      <c r="K154" s="1">
        <f>IF(B154=B153,K153,K153+1)</f>
        <v>42</v>
      </c>
      <c r="L154" s="1"/>
      <c r="M154" s="1"/>
      <c r="N154" s="1"/>
      <c r="O154" s="1"/>
      <c r="P154" s="1"/>
      <c r="R154" s="1"/>
      <c r="S154" s="1"/>
    </row>
    <row r="155">
      <c r="A155" s="1" t="s">
        <v>65</v>
      </c>
      <c r="B155" s="1" t="str">
        <f>E155</f>
        <v>Personnel</v>
      </c>
      <c r="C155" s="1" t="str">
        <f>F155</f>
        <v>Maintenance</v>
      </c>
      <c r="D155" t="s">
        <v>226</v>
      </c>
      <c r="E155" s="1" t="s">
        <v>67</v>
      </c>
      <c r="F155" s="1" t="s">
        <v>219</v>
      </c>
      <c r="G155" s="1" t="s">
        <v>67</v>
      </c>
      <c r="H155" s="1" t="s">
        <v>219</v>
      </c>
      <c r="I155" s="1" t="s">
        <v>220</v>
      </c>
      <c r="J155" s="1" t="s">
        <v>221</v>
      </c>
      <c r="K155" s="1">
        <f>IF(B155=B154,K154,K154+1)</f>
        <v>42</v>
      </c>
      <c r="L155" s="1"/>
      <c r="M155" s="1"/>
      <c r="N155" s="1"/>
      <c r="O155" s="1"/>
      <c r="P155" s="1"/>
      <c r="R155" s="1"/>
      <c r="S155" s="1"/>
    </row>
    <row r="156">
      <c r="A156" s="1" t="s">
        <v>65</v>
      </c>
      <c r="B156" s="1" t="str">
        <f>E156</f>
        <v>Operations</v>
      </c>
      <c r="C156" s="1" t="str">
        <f>F156</f>
        <v>Property</v>
      </c>
      <c r="D156" s="1" t="s">
        <v>227</v>
      </c>
      <c r="E156" s="1" t="s">
        <v>12</v>
      </c>
      <c r="F156" s="1" t="s">
        <v>228</v>
      </c>
      <c r="G156" s="1" t="s">
        <v>12</v>
      </c>
      <c r="H156" s="1" t="s">
        <v>228</v>
      </c>
      <c r="I156" s="1" t="s">
        <v>220</v>
      </c>
      <c r="J156" s="1" t="s">
        <v>229</v>
      </c>
      <c r="K156" s="1">
        <f>IF(B156=B155,K155,K155+1)</f>
        <v>43</v>
      </c>
      <c r="L156" s="1"/>
      <c r="M156" s="1"/>
      <c r="N156" s="1"/>
      <c r="O156" s="1"/>
      <c r="P156" s="1"/>
      <c r="R156" s="1"/>
      <c r="S156" s="1"/>
    </row>
    <row r="157">
      <c r="A157" s="1" t="s">
        <v>65</v>
      </c>
      <c r="B157" s="1" t="str">
        <f>E157</f>
        <v>Operations</v>
      </c>
      <c r="C157" s="1" t="str">
        <f>F157</f>
        <v>Property</v>
      </c>
      <c r="D157" s="1" t="s">
        <v>230</v>
      </c>
      <c r="E157" s="1" t="s">
        <v>12</v>
      </c>
      <c r="F157" s="1" t="s">
        <v>228</v>
      </c>
      <c r="G157" s="1" t="s">
        <v>12</v>
      </c>
      <c r="H157" s="1" t="s">
        <v>228</v>
      </c>
      <c r="I157" s="1" t="s">
        <v>220</v>
      </c>
      <c r="J157" s="1" t="s">
        <v>229</v>
      </c>
      <c r="K157" s="1">
        <f>IF(B157=B156,K156,K156+1)</f>
        <v>43</v>
      </c>
      <c r="L157" s="1"/>
      <c r="M157" s="1"/>
      <c r="N157" s="1"/>
      <c r="O157" s="1"/>
      <c r="P157" s="1"/>
      <c r="R157" s="1"/>
      <c r="S157" s="1"/>
    </row>
    <row r="158">
      <c r="A158" s="1" t="s">
        <v>65</v>
      </c>
      <c r="B158" s="1" t="str">
        <f>E158</f>
        <v>Operations</v>
      </c>
      <c r="C158" s="1" t="str">
        <f>F158</f>
        <v>Property</v>
      </c>
      <c r="D158" s="1" t="s">
        <v>231</v>
      </c>
      <c r="E158" s="1" t="s">
        <v>12</v>
      </c>
      <c r="F158" s="1" t="s">
        <v>228</v>
      </c>
      <c r="G158" s="1" t="s">
        <v>12</v>
      </c>
      <c r="H158" s="1" t="s">
        <v>228</v>
      </c>
      <c r="I158" s="1" t="s">
        <v>220</v>
      </c>
      <c r="J158" s="1" t="s">
        <v>229</v>
      </c>
      <c r="K158" s="1">
        <f>IF(B158=B157,K157,K157+1)</f>
        <v>43</v>
      </c>
      <c r="L158" s="1"/>
      <c r="M158" s="1"/>
      <c r="N158" s="1"/>
      <c r="O158" s="1"/>
      <c r="P158" s="1"/>
      <c r="R158" s="1"/>
      <c r="S158" s="1"/>
    </row>
    <row r="159">
      <c r="A159" s="1" t="s">
        <v>65</v>
      </c>
      <c r="B159" s="1" t="str">
        <f>E159</f>
        <v>Operations</v>
      </c>
      <c r="C159" s="1" t="str">
        <f>F159</f>
        <v>Property</v>
      </c>
      <c r="D159" s="1" t="s">
        <v>232</v>
      </c>
      <c r="E159" s="1" t="s">
        <v>12</v>
      </c>
      <c r="F159" s="1" t="s">
        <v>228</v>
      </c>
      <c r="G159" s="1" t="s">
        <v>12</v>
      </c>
      <c r="H159" s="1" t="s">
        <v>228</v>
      </c>
      <c r="I159" s="1" t="s">
        <v>220</v>
      </c>
      <c r="J159" s="1" t="s">
        <v>229</v>
      </c>
      <c r="K159" s="1">
        <f>IF(B159=B158,K158,K158+1)</f>
        <v>43</v>
      </c>
      <c r="L159" s="1"/>
      <c r="M159" s="1"/>
      <c r="N159" s="1"/>
      <c r="O159" s="1"/>
      <c r="P159" s="1"/>
      <c r="R159" s="1"/>
      <c r="S159" s="1"/>
    </row>
    <row r="160">
      <c r="A160" s="1" t="s">
        <v>65</v>
      </c>
      <c r="B160" s="1" t="str">
        <f>E160</f>
        <v>Operations</v>
      </c>
      <c r="C160" s="1" t="str">
        <f>F160</f>
        <v>Property</v>
      </c>
      <c r="D160" s="1" t="s">
        <v>233</v>
      </c>
      <c r="E160" s="1" t="s">
        <v>12</v>
      </c>
      <c r="F160" s="1" t="s">
        <v>228</v>
      </c>
      <c r="G160" s="1" t="s">
        <v>12</v>
      </c>
      <c r="H160" s="1" t="s">
        <v>228</v>
      </c>
      <c r="I160" s="1" t="s">
        <v>220</v>
      </c>
      <c r="J160" s="1" t="s">
        <v>229</v>
      </c>
      <c r="K160" s="1">
        <f>IF(B160=B159,K159,K159+1)</f>
        <v>43</v>
      </c>
      <c r="L160" s="1"/>
      <c r="M160" s="1"/>
      <c r="N160" s="1"/>
      <c r="O160" s="1"/>
      <c r="P160" s="1"/>
      <c r="R160" s="1"/>
      <c r="S160" s="1"/>
    </row>
    <row r="161">
      <c r="A161" s="1" t="s">
        <v>65</v>
      </c>
      <c r="B161" s="1" t="str">
        <f>E161</f>
        <v>Operations</v>
      </c>
      <c r="C161" s="1" t="str">
        <f>F161</f>
        <v>Property</v>
      </c>
      <c r="D161" s="1" t="s">
        <v>234</v>
      </c>
      <c r="E161" s="1" t="s">
        <v>12</v>
      </c>
      <c r="F161" s="1" t="s">
        <v>228</v>
      </c>
      <c r="G161" s="1" t="s">
        <v>12</v>
      </c>
      <c r="H161" s="1" t="s">
        <v>228</v>
      </c>
      <c r="I161" s="1" t="s">
        <v>220</v>
      </c>
      <c r="J161" s="1" t="s">
        <v>229</v>
      </c>
      <c r="K161" s="1">
        <f>IF(B161=B160,K160,K160+1)</f>
        <v>43</v>
      </c>
      <c r="L161" s="1"/>
      <c r="M161" s="1"/>
      <c r="N161" s="1"/>
      <c r="O161" s="1"/>
      <c r="P161" s="1"/>
      <c r="R161" s="1"/>
      <c r="S161" s="1"/>
    </row>
    <row r="162">
      <c r="A162" s="1" t="s">
        <v>65</v>
      </c>
      <c r="B162" s="1" t="str">
        <f>E162</f>
        <v>Operations</v>
      </c>
      <c r="C162" s="1" t="str">
        <f>F162</f>
        <v>Property</v>
      </c>
      <c r="D162" s="1" t="s">
        <v>235</v>
      </c>
      <c r="E162" s="1" t="s">
        <v>12</v>
      </c>
      <c r="F162" s="1" t="s">
        <v>228</v>
      </c>
      <c r="G162" s="1" t="s">
        <v>12</v>
      </c>
      <c r="H162" s="1" t="s">
        <v>228</v>
      </c>
      <c r="I162" s="1" t="s">
        <v>220</v>
      </c>
      <c r="J162" s="1" t="s">
        <v>229</v>
      </c>
      <c r="K162" s="1">
        <f>IF(B162=B161,K161,K161+1)</f>
        <v>43</v>
      </c>
      <c r="L162" s="1"/>
      <c r="M162" s="1"/>
      <c r="N162" s="1"/>
      <c r="O162" s="1"/>
      <c r="P162" s="1"/>
      <c r="R162" s="1"/>
      <c r="S162" s="1"/>
    </row>
    <row r="163">
      <c r="A163" s="1" t="s">
        <v>65</v>
      </c>
      <c r="B163" s="1" t="str">
        <f>E163</f>
        <v>Operations</v>
      </c>
      <c r="C163" s="1" t="str">
        <f>F163</f>
        <v>Property</v>
      </c>
      <c r="D163" s="1" t="s">
        <v>236</v>
      </c>
      <c r="E163" s="1" t="s">
        <v>12</v>
      </c>
      <c r="F163" s="1" t="s">
        <v>228</v>
      </c>
      <c r="G163" s="1" t="s">
        <v>12</v>
      </c>
      <c r="H163" s="1" t="s">
        <v>228</v>
      </c>
      <c r="I163" s="1" t="s">
        <v>220</v>
      </c>
      <c r="J163" s="1" t="s">
        <v>229</v>
      </c>
      <c r="K163" s="1">
        <f>IF(B163=B162,K162,K162+1)</f>
        <v>43</v>
      </c>
      <c r="L163" s="1"/>
      <c r="M163" s="1"/>
      <c r="N163" s="1"/>
      <c r="O163" s="1"/>
      <c r="P163" s="1"/>
      <c r="R163" s="1"/>
      <c r="S163" s="1"/>
    </row>
    <row r="164">
      <c r="A164" s="1" t="s">
        <v>65</v>
      </c>
      <c r="B164" s="1" t="str">
        <f>E164</f>
        <v>Operations</v>
      </c>
      <c r="C164" s="1" t="str">
        <f>F164</f>
        <v>Property</v>
      </c>
      <c r="D164" s="1" t="s">
        <v>237</v>
      </c>
      <c r="E164" s="1" t="s">
        <v>12</v>
      </c>
      <c r="F164" s="1" t="s">
        <v>228</v>
      </c>
      <c r="G164" s="1" t="s">
        <v>12</v>
      </c>
      <c r="H164" s="1" t="s">
        <v>228</v>
      </c>
      <c r="I164" s="1" t="s">
        <v>220</v>
      </c>
      <c r="J164" s="1" t="s">
        <v>229</v>
      </c>
      <c r="K164" s="1">
        <f>IF(B164=B163,K163,K163+1)</f>
        <v>43</v>
      </c>
      <c r="L164" s="1"/>
      <c r="M164" s="1"/>
      <c r="N164" s="1"/>
      <c r="O164" s="1"/>
      <c r="P164" s="1"/>
      <c r="R164" s="1"/>
      <c r="S164" s="1"/>
    </row>
    <row r="165">
      <c r="A165" s="1" t="s">
        <v>65</v>
      </c>
      <c r="B165" s="1" t="str">
        <f>E165</f>
        <v>Operations</v>
      </c>
      <c r="C165" s="1" t="str">
        <f>F165</f>
        <v>Property</v>
      </c>
      <c r="D165" s="1" t="s">
        <v>238</v>
      </c>
      <c r="E165" s="1" t="s">
        <v>12</v>
      </c>
      <c r="F165" s="1" t="s">
        <v>228</v>
      </c>
      <c r="G165" s="1" t="s">
        <v>12</v>
      </c>
      <c r="H165" s="1" t="s">
        <v>228</v>
      </c>
      <c r="I165" s="1" t="s">
        <v>220</v>
      </c>
      <c r="J165" s="1" t="s">
        <v>229</v>
      </c>
      <c r="K165" s="1">
        <f>IF(B165=B164,K164,K164+1)</f>
        <v>43</v>
      </c>
      <c r="L165" s="1"/>
      <c r="M165" s="1"/>
      <c r="N165" s="1"/>
      <c r="O165" s="1"/>
      <c r="P165" s="1"/>
      <c r="R165" s="1"/>
      <c r="S165" s="1"/>
    </row>
    <row r="166">
      <c r="A166" s="1" t="s">
        <v>65</v>
      </c>
      <c r="B166" s="1" t="str">
        <f>E166</f>
        <v>Operations</v>
      </c>
      <c r="C166" s="1" t="str">
        <f>F166</f>
        <v>Property</v>
      </c>
      <c r="D166" s="1" t="s">
        <v>239</v>
      </c>
      <c r="E166" s="1" t="s">
        <v>12</v>
      </c>
      <c r="F166" s="1" t="s">
        <v>228</v>
      </c>
      <c r="G166" s="1" t="s">
        <v>12</v>
      </c>
      <c r="H166" s="1" t="s">
        <v>228</v>
      </c>
      <c r="I166" s="1" t="s">
        <v>220</v>
      </c>
      <c r="J166" s="1" t="s">
        <v>229</v>
      </c>
      <c r="K166" s="1">
        <f>IF(B166=B165,K165,K165+1)</f>
        <v>43</v>
      </c>
      <c r="L166" s="1"/>
      <c r="M166" s="1"/>
      <c r="N166" s="1"/>
      <c r="O166" s="1"/>
      <c r="P166" s="1"/>
      <c r="R166" s="1"/>
      <c r="S166" s="1"/>
    </row>
    <row r="167">
      <c r="A167" s="1" t="s">
        <v>65</v>
      </c>
      <c r="B167" s="1" t="str">
        <f>E167</f>
        <v>Operations</v>
      </c>
      <c r="C167" s="1" t="str">
        <f>F167</f>
        <v>Property</v>
      </c>
      <c r="D167" s="1" t="s">
        <v>240</v>
      </c>
      <c r="E167" s="1" t="s">
        <v>12</v>
      </c>
      <c r="F167" s="1" t="s">
        <v>228</v>
      </c>
      <c r="G167" s="1" t="s">
        <v>12</v>
      </c>
      <c r="H167" s="1" t="s">
        <v>228</v>
      </c>
      <c r="I167" s="1" t="s">
        <v>220</v>
      </c>
      <c r="J167" s="1" t="s">
        <v>229</v>
      </c>
      <c r="K167" s="1">
        <f>IF(B167=B166,K166,K166+1)</f>
        <v>43</v>
      </c>
      <c r="L167" s="1"/>
      <c r="M167" s="1"/>
      <c r="N167" s="1"/>
      <c r="O167" s="1"/>
      <c r="P167" s="1"/>
      <c r="R167" s="1"/>
      <c r="S167" s="1"/>
    </row>
    <row r="168">
      <c r="A168" s="1" t="s">
        <v>65</v>
      </c>
      <c r="B168" s="1" t="str">
        <f>E168</f>
        <v>Operations</v>
      </c>
      <c r="C168" s="1" t="str">
        <f>F168</f>
        <v>Property</v>
      </c>
      <c r="D168" s="1" t="s">
        <v>241</v>
      </c>
      <c r="E168" s="1" t="s">
        <v>12</v>
      </c>
      <c r="F168" s="1" t="s">
        <v>228</v>
      </c>
      <c r="G168" s="1" t="s">
        <v>12</v>
      </c>
      <c r="H168" s="1" t="s">
        <v>228</v>
      </c>
      <c r="I168" s="1" t="s">
        <v>220</v>
      </c>
      <c r="J168" s="1" t="s">
        <v>229</v>
      </c>
      <c r="K168" s="1">
        <f>IF(B168=B167,K167,K167+1)</f>
        <v>43</v>
      </c>
      <c r="L168" s="1"/>
      <c r="M168" s="1"/>
      <c r="N168" s="1"/>
      <c r="O168" s="1"/>
      <c r="P168" s="1"/>
      <c r="R168" s="1"/>
      <c r="S168" s="1"/>
    </row>
    <row r="169">
      <c r="A169" s="1" t="s">
        <v>65</v>
      </c>
      <c r="B169" s="1" t="str">
        <f>E169</f>
        <v>Operations</v>
      </c>
      <c r="C169" s="1" t="str">
        <f>F169</f>
        <v>Property</v>
      </c>
      <c r="D169" s="1" t="s">
        <v>242</v>
      </c>
      <c r="E169" s="1" t="s">
        <v>12</v>
      </c>
      <c r="F169" s="1" t="s">
        <v>228</v>
      </c>
      <c r="G169" s="1" t="s">
        <v>12</v>
      </c>
      <c r="H169" s="1" t="s">
        <v>228</v>
      </c>
      <c r="I169" s="1" t="s">
        <v>220</v>
      </c>
      <c r="J169" s="1" t="s">
        <v>229</v>
      </c>
      <c r="K169" s="1">
        <f>IF(B169=B168,K168,K168+1)</f>
        <v>43</v>
      </c>
      <c r="L169" s="1"/>
      <c r="M169" s="1"/>
      <c r="N169" s="1"/>
      <c r="O169" s="1"/>
      <c r="P169" s="1"/>
      <c r="R169" s="1"/>
      <c r="S169" s="1"/>
    </row>
    <row r="170">
      <c r="A170" s="1" t="s">
        <v>65</v>
      </c>
      <c r="B170" s="1" t="str">
        <f>E170</f>
        <v>Operations</v>
      </c>
      <c r="C170" s="1" t="str">
        <f>F170</f>
        <v>Property</v>
      </c>
      <c r="D170" s="1" t="s">
        <v>243</v>
      </c>
      <c r="E170" s="1" t="s">
        <v>12</v>
      </c>
      <c r="F170" s="1" t="s">
        <v>228</v>
      </c>
      <c r="G170" s="1" t="s">
        <v>12</v>
      </c>
      <c r="H170" s="1" t="s">
        <v>228</v>
      </c>
      <c r="I170" s="1" t="s">
        <v>220</v>
      </c>
      <c r="J170" s="1" t="s">
        <v>229</v>
      </c>
      <c r="K170" s="1">
        <f>IF(B170=B169,K169,K169+1)</f>
        <v>43</v>
      </c>
      <c r="L170" s="1"/>
      <c r="M170" s="1"/>
      <c r="N170" s="1"/>
      <c r="O170" s="1"/>
      <c r="P170" s="1"/>
      <c r="R170" s="1"/>
      <c r="S170" s="1"/>
    </row>
    <row r="171">
      <c r="A171" s="1" t="s">
        <v>65</v>
      </c>
      <c r="B171" s="1" t="str">
        <f>E171</f>
        <v>Operations</v>
      </c>
      <c r="C171" s="1" t="str">
        <f>F171</f>
        <v>Property</v>
      </c>
      <c r="D171" s="1" t="s">
        <v>244</v>
      </c>
      <c r="E171" s="1" t="s">
        <v>12</v>
      </c>
      <c r="F171" s="1" t="s">
        <v>228</v>
      </c>
      <c r="G171" s="1" t="s">
        <v>12</v>
      </c>
      <c r="H171" s="1" t="s">
        <v>228</v>
      </c>
      <c r="I171" s="1" t="s">
        <v>220</v>
      </c>
      <c r="J171" s="1" t="s">
        <v>229</v>
      </c>
      <c r="K171" s="1">
        <f>IF(B171=B170,K170,K170+1)</f>
        <v>43</v>
      </c>
      <c r="L171" s="1"/>
      <c r="M171" s="1"/>
      <c r="N171" s="1"/>
      <c r="O171" s="1"/>
      <c r="P171" s="1"/>
      <c r="R171" s="1"/>
      <c r="S171" s="1"/>
    </row>
    <row r="172">
      <c r="A172" s="1" t="s">
        <v>65</v>
      </c>
      <c r="B172" s="1" t="str">
        <f>E172</f>
        <v>Operations</v>
      </c>
      <c r="C172" s="1" t="str">
        <f>F172</f>
        <v>Property</v>
      </c>
      <c r="D172" s="1" t="s">
        <v>245</v>
      </c>
      <c r="E172" s="1" t="s">
        <v>12</v>
      </c>
      <c r="F172" s="1" t="s">
        <v>228</v>
      </c>
      <c r="G172" s="1" t="s">
        <v>12</v>
      </c>
      <c r="H172" s="1" t="s">
        <v>228</v>
      </c>
      <c r="I172" s="1" t="s">
        <v>220</v>
      </c>
      <c r="J172" s="1" t="s">
        <v>229</v>
      </c>
      <c r="K172" s="1">
        <f>IF(B172=B171,K171,K171+1)</f>
        <v>43</v>
      </c>
      <c r="L172" s="1"/>
      <c r="M172" s="1"/>
      <c r="N172" s="1"/>
      <c r="O172" s="1"/>
      <c r="P172" s="1"/>
      <c r="R172" s="1"/>
      <c r="S172" s="1"/>
    </row>
    <row r="173">
      <c r="A173" s="1" t="s">
        <v>65</v>
      </c>
      <c r="B173" s="1" t="str">
        <f>E173</f>
        <v>Operations</v>
      </c>
      <c r="C173" s="1" t="str">
        <f>F173</f>
        <v>Property</v>
      </c>
      <c r="D173" s="1" t="s">
        <v>246</v>
      </c>
      <c r="E173" s="1" t="s">
        <v>12</v>
      </c>
      <c r="F173" s="1" t="s">
        <v>228</v>
      </c>
      <c r="G173" s="1" t="s">
        <v>12</v>
      </c>
      <c r="H173" s="1" t="s">
        <v>228</v>
      </c>
      <c r="I173" s="1" t="s">
        <v>220</v>
      </c>
      <c r="J173" s="1" t="s">
        <v>229</v>
      </c>
      <c r="K173" s="1">
        <f>IF(B173=B172,K172,K172+1)</f>
        <v>43</v>
      </c>
      <c r="L173" s="1"/>
      <c r="M173" s="1"/>
      <c r="N173" s="1"/>
      <c r="O173" s="1"/>
      <c r="P173" s="1"/>
      <c r="R173" s="1"/>
      <c r="S173" s="1"/>
    </row>
    <row r="174">
      <c r="A174" s="1" t="s">
        <v>65</v>
      </c>
      <c r="B174" s="1" t="str">
        <f>E174</f>
        <v>Operations</v>
      </c>
      <c r="C174" s="1" t="str">
        <f>F174</f>
        <v>Property</v>
      </c>
      <c r="D174" s="1" t="s">
        <v>247</v>
      </c>
      <c r="E174" s="1" t="s">
        <v>12</v>
      </c>
      <c r="F174" s="1" t="s">
        <v>228</v>
      </c>
      <c r="G174" s="1" t="s">
        <v>12</v>
      </c>
      <c r="H174" s="1" t="s">
        <v>228</v>
      </c>
      <c r="I174" s="1" t="s">
        <v>220</v>
      </c>
      <c r="J174" s="1" t="s">
        <v>229</v>
      </c>
      <c r="K174" s="1">
        <f>IF(B174=B173,K173,K173+1)</f>
        <v>43</v>
      </c>
      <c r="L174" s="1"/>
      <c r="M174" s="1"/>
      <c r="N174" s="1"/>
      <c r="O174" s="1"/>
      <c r="P174" s="1"/>
      <c r="R174" s="1"/>
      <c r="S174" s="1"/>
    </row>
    <row r="175">
      <c r="A175" s="1" t="s">
        <v>65</v>
      </c>
      <c r="B175" s="1" t="str">
        <f>E175</f>
        <v>Operations</v>
      </c>
      <c r="C175" s="1" t="str">
        <f>F175</f>
        <v>Property</v>
      </c>
      <c r="D175" s="1" t="s">
        <v>248</v>
      </c>
      <c r="E175" s="1" t="s">
        <v>12</v>
      </c>
      <c r="F175" s="1" t="s">
        <v>228</v>
      </c>
      <c r="G175" s="1" t="s">
        <v>12</v>
      </c>
      <c r="H175" s="1" t="s">
        <v>228</v>
      </c>
      <c r="I175" s="1" t="s">
        <v>220</v>
      </c>
      <c r="J175" s="1" t="s">
        <v>229</v>
      </c>
      <c r="K175" s="1">
        <f>IF(B175=B174,K174,K174+1)</f>
        <v>43</v>
      </c>
      <c r="L175" s="1"/>
      <c r="M175" s="1"/>
      <c r="N175" s="1"/>
      <c r="O175" s="1"/>
      <c r="P175" s="1"/>
      <c r="R175" s="1"/>
      <c r="S175" s="1"/>
    </row>
    <row r="176">
      <c r="A176" s="1" t="s">
        <v>65</v>
      </c>
      <c r="B176" s="1" t="str">
        <f>E176</f>
        <v>Operations</v>
      </c>
      <c r="C176" s="1" t="str">
        <f>F176</f>
        <v>Property</v>
      </c>
      <c r="D176" s="1" t="s">
        <v>249</v>
      </c>
      <c r="E176" s="1" t="s">
        <v>12</v>
      </c>
      <c r="F176" s="1" t="s">
        <v>228</v>
      </c>
      <c r="G176" s="1" t="s">
        <v>12</v>
      </c>
      <c r="H176" s="1" t="s">
        <v>228</v>
      </c>
      <c r="I176" s="1" t="s">
        <v>220</v>
      </c>
      <c r="J176" s="1" t="s">
        <v>229</v>
      </c>
      <c r="K176" s="1">
        <f>IF(B176=B175,K175,K175+1)</f>
        <v>43</v>
      </c>
      <c r="L176" s="1"/>
      <c r="M176" s="1"/>
      <c r="N176" s="1"/>
      <c r="O176" s="1"/>
      <c r="P176" s="1"/>
      <c r="R176" s="1"/>
      <c r="S176" s="1"/>
    </row>
    <row r="177">
      <c r="A177" s="1" t="s">
        <v>65</v>
      </c>
      <c r="B177" s="1" t="str">
        <f>E177</f>
        <v>Operations</v>
      </c>
      <c r="C177" s="1" t="str">
        <f>F177</f>
        <v>Property</v>
      </c>
      <c r="D177" s="1" t="s">
        <v>250</v>
      </c>
      <c r="E177" s="1" t="s">
        <v>12</v>
      </c>
      <c r="F177" s="1" t="s">
        <v>228</v>
      </c>
      <c r="G177" s="1" t="s">
        <v>12</v>
      </c>
      <c r="H177" s="1" t="s">
        <v>228</v>
      </c>
      <c r="I177" s="1" t="s">
        <v>220</v>
      </c>
      <c r="J177" s="1" t="s">
        <v>229</v>
      </c>
      <c r="K177" s="1">
        <f>IF(B177=B176,K176,K176+1)</f>
        <v>43</v>
      </c>
      <c r="L177" s="1"/>
      <c r="M177" s="1"/>
      <c r="N177" s="1"/>
      <c r="O177" s="1"/>
      <c r="P177" s="1"/>
      <c r="R177" s="1"/>
      <c r="S177" s="1"/>
    </row>
    <row r="178">
      <c r="A178" s="1" t="s">
        <v>65</v>
      </c>
      <c r="B178" s="1" t="str">
        <f>E178</f>
        <v>Operations</v>
      </c>
      <c r="C178" s="1" t="str">
        <f>F178</f>
        <v>Property</v>
      </c>
      <c r="D178" s="1" t="s">
        <v>251</v>
      </c>
      <c r="E178" s="1" t="s">
        <v>12</v>
      </c>
      <c r="F178" s="1" t="s">
        <v>228</v>
      </c>
      <c r="G178" s="1" t="s">
        <v>12</v>
      </c>
      <c r="H178" s="1" t="s">
        <v>228</v>
      </c>
      <c r="I178" s="1" t="s">
        <v>220</v>
      </c>
      <c r="J178" s="1" t="s">
        <v>229</v>
      </c>
      <c r="K178" s="1">
        <f>IF(B178=B177,K177,K177+1)</f>
        <v>43</v>
      </c>
      <c r="L178" s="1"/>
      <c r="M178" s="1"/>
      <c r="N178" s="1"/>
      <c r="O178" s="1"/>
      <c r="P178" s="1"/>
      <c r="R178" s="1"/>
      <c r="S178" s="1"/>
    </row>
    <row r="179">
      <c r="A179" s="1" t="s">
        <v>65</v>
      </c>
      <c r="B179" s="1" t="str">
        <f>E179</f>
        <v>Operations</v>
      </c>
      <c r="C179" s="1" t="str">
        <f>F179</f>
        <v>Property</v>
      </c>
      <c r="D179" s="1" t="s">
        <v>252</v>
      </c>
      <c r="E179" s="1" t="s">
        <v>12</v>
      </c>
      <c r="F179" s="1" t="s">
        <v>228</v>
      </c>
      <c r="G179" s="1" t="s">
        <v>12</v>
      </c>
      <c r="H179" s="1" t="s">
        <v>228</v>
      </c>
      <c r="I179" s="1" t="s">
        <v>220</v>
      </c>
      <c r="J179" s="1" t="s">
        <v>229</v>
      </c>
      <c r="K179" s="1">
        <f>IF(B179=B178,K178,K178+1)</f>
        <v>43</v>
      </c>
      <c r="L179" s="1"/>
      <c r="M179" s="1"/>
      <c r="N179" s="1"/>
      <c r="O179" s="1"/>
      <c r="P179" s="1"/>
      <c r="R179" s="1"/>
      <c r="S179" s="1"/>
    </row>
    <row r="180">
      <c r="A180" s="1" t="s">
        <v>65</v>
      </c>
      <c r="B180" s="1" t="str">
        <f>E180</f>
        <v>Operations</v>
      </c>
      <c r="C180" s="1" t="str">
        <f>F180</f>
        <v>Property</v>
      </c>
      <c r="D180" s="1" t="s">
        <v>253</v>
      </c>
      <c r="E180" s="1" t="s">
        <v>12</v>
      </c>
      <c r="F180" s="1" t="s">
        <v>228</v>
      </c>
      <c r="G180" s="1" t="s">
        <v>12</v>
      </c>
      <c r="H180" s="1" t="s">
        <v>228</v>
      </c>
      <c r="I180" s="1" t="s">
        <v>220</v>
      </c>
      <c r="J180" s="1" t="s">
        <v>229</v>
      </c>
      <c r="K180" s="1">
        <f>IF(B180=B179,K179,K179+1)</f>
        <v>43</v>
      </c>
      <c r="L180" s="1"/>
      <c r="M180" s="1"/>
      <c r="N180" s="1"/>
      <c r="O180" s="1"/>
      <c r="P180" s="1"/>
      <c r="R180" s="1"/>
      <c r="S180" s="1"/>
    </row>
    <row r="181">
      <c r="A181" s="1" t="s">
        <v>65</v>
      </c>
      <c r="B181" s="1" t="str">
        <f>E181</f>
        <v>Operations</v>
      </c>
      <c r="C181" s="1" t="str">
        <f>F181</f>
        <v>Property</v>
      </c>
      <c r="D181" s="1" t="s">
        <v>254</v>
      </c>
      <c r="E181" s="1" t="s">
        <v>12</v>
      </c>
      <c r="F181" s="1" t="s">
        <v>228</v>
      </c>
      <c r="G181" s="1" t="s">
        <v>12</v>
      </c>
      <c r="H181" s="1" t="s">
        <v>228</v>
      </c>
      <c r="I181" s="1" t="s">
        <v>220</v>
      </c>
      <c r="J181" s="1" t="s">
        <v>229</v>
      </c>
      <c r="K181" s="1">
        <f>IF(B181=B180,K180,K180+1)</f>
        <v>43</v>
      </c>
      <c r="L181" s="1"/>
      <c r="M181" s="1"/>
      <c r="N181" s="1"/>
      <c r="O181" s="1"/>
      <c r="P181" s="1"/>
      <c r="R181" s="1"/>
      <c r="S181" s="1"/>
    </row>
    <row r="182">
      <c r="A182" s="1" t="s">
        <v>65</v>
      </c>
      <c r="B182" s="1" t="str">
        <f>E182</f>
        <v>Operations</v>
      </c>
      <c r="C182" s="1" t="str">
        <f>F182</f>
        <v>Property</v>
      </c>
      <c r="D182" s="1" t="s">
        <v>255</v>
      </c>
      <c r="E182" s="1" t="s">
        <v>12</v>
      </c>
      <c r="F182" s="1" t="s">
        <v>228</v>
      </c>
      <c r="G182" s="1" t="s">
        <v>12</v>
      </c>
      <c r="H182" s="1" t="s">
        <v>228</v>
      </c>
      <c r="I182" s="1" t="s">
        <v>220</v>
      </c>
      <c r="J182" s="1" t="s">
        <v>229</v>
      </c>
      <c r="K182" s="1">
        <f>IF(B182=B181,K181,K181+1)</f>
        <v>43</v>
      </c>
      <c r="L182" s="1"/>
      <c r="M182" s="1"/>
      <c r="N182" s="1"/>
      <c r="O182" s="1"/>
      <c r="P182" s="1"/>
      <c r="R182" s="1"/>
      <c r="S182" s="1"/>
    </row>
    <row r="183">
      <c r="A183" s="1" t="s">
        <v>65</v>
      </c>
      <c r="B183" s="1" t="str">
        <f>E183</f>
        <v>Operations</v>
      </c>
      <c r="C183" s="1" t="str">
        <f>F183</f>
        <v>Property</v>
      </c>
      <c r="D183" s="1" t="s">
        <v>256</v>
      </c>
      <c r="E183" s="1" t="s">
        <v>12</v>
      </c>
      <c r="F183" s="1" t="s">
        <v>228</v>
      </c>
      <c r="G183" s="1" t="s">
        <v>12</v>
      </c>
      <c r="H183" s="1" t="s">
        <v>228</v>
      </c>
      <c r="I183" s="1" t="s">
        <v>220</v>
      </c>
      <c r="J183" s="1" t="s">
        <v>229</v>
      </c>
      <c r="K183" s="1">
        <f>IF(B183=B182,K182,K182+1)</f>
        <v>43</v>
      </c>
      <c r="L183" s="1"/>
      <c r="M183" s="1"/>
      <c r="N183" s="1"/>
      <c r="O183" s="1"/>
      <c r="P183" s="1"/>
      <c r="R183" s="1"/>
      <c r="S183" s="1"/>
    </row>
    <row r="184">
      <c r="A184" s="1" t="s">
        <v>65</v>
      </c>
      <c r="B184" s="1" t="str">
        <f>E184</f>
        <v>Operations</v>
      </c>
      <c r="C184" s="1" t="str">
        <f>F184</f>
        <v>Finance</v>
      </c>
      <c r="D184" s="1" t="s">
        <v>257</v>
      </c>
      <c r="E184" s="1" t="s">
        <v>12</v>
      </c>
      <c r="F184" s="1" t="s">
        <v>258</v>
      </c>
      <c r="G184" s="1" t="s">
        <v>12</v>
      </c>
      <c r="H184" s="1" t="s">
        <v>258</v>
      </c>
      <c r="I184" s="1" t="s">
        <v>259</v>
      </c>
      <c r="J184" s="1" t="s">
        <v>259</v>
      </c>
      <c r="K184" s="1">
        <f>IF(B184=B183,K183,K183+1)</f>
        <v>43</v>
      </c>
      <c r="L184" s="1"/>
      <c r="M184" s="1"/>
      <c r="N184" s="1"/>
      <c r="O184" s="1"/>
      <c r="P184" s="1"/>
      <c r="R184" s="1"/>
      <c r="S184" s="1"/>
    </row>
    <row r="185">
      <c r="A185" s="1" t="s">
        <v>65</v>
      </c>
      <c r="B185" s="1" t="str">
        <f>E185</f>
        <v>Operations</v>
      </c>
      <c r="C185" s="1" t="str">
        <f>F185</f>
        <v>Finance</v>
      </c>
      <c r="D185" s="1" t="s">
        <v>260</v>
      </c>
      <c r="E185" s="1" t="s">
        <v>12</v>
      </c>
      <c r="F185" s="1" t="s">
        <v>258</v>
      </c>
      <c r="G185" s="1" t="s">
        <v>12</v>
      </c>
      <c r="H185" s="1" t="s">
        <v>258</v>
      </c>
      <c r="I185" s="1" t="s">
        <v>259</v>
      </c>
      <c r="J185" s="1" t="s">
        <v>259</v>
      </c>
      <c r="K185" s="1">
        <f>IF(B185=B184,K184,K184+1)</f>
        <v>43</v>
      </c>
      <c r="L185" s="1"/>
      <c r="M185" s="1"/>
      <c r="N185" s="1"/>
      <c r="O185" s="1"/>
      <c r="P185" s="1"/>
      <c r="R185" s="1"/>
      <c r="S185" s="1"/>
    </row>
    <row r="186">
      <c r="A186" s="1" t="s">
        <v>65</v>
      </c>
      <c r="B186" s="1" t="str">
        <f>E186</f>
        <v>Operations</v>
      </c>
      <c r="C186" s="1" t="str">
        <f>F186</f>
        <v>Finance</v>
      </c>
      <c r="D186" s="1" t="s">
        <v>261</v>
      </c>
      <c r="E186" s="1" t="s">
        <v>12</v>
      </c>
      <c r="F186" s="1" t="s">
        <v>258</v>
      </c>
      <c r="G186" s="1" t="s">
        <v>12</v>
      </c>
      <c r="H186" s="1" t="s">
        <v>258</v>
      </c>
      <c r="I186" s="1" t="s">
        <v>259</v>
      </c>
      <c r="J186" s="1" t="s">
        <v>259</v>
      </c>
      <c r="K186" s="1">
        <f>IF(B186=B185,K185,K185+1)</f>
        <v>43</v>
      </c>
      <c r="L186" s="1"/>
      <c r="M186" s="1"/>
      <c r="N186" s="1"/>
      <c r="O186" s="1"/>
      <c r="P186" s="1"/>
      <c r="R186" s="1"/>
      <c r="S186" s="1"/>
    </row>
    <row r="187">
      <c r="A187" s="1" t="s">
        <v>65</v>
      </c>
      <c r="B187" s="1" t="str">
        <f>E187</f>
        <v>Operations</v>
      </c>
      <c r="C187" s="1" t="str">
        <f>F187</f>
        <v>Finance</v>
      </c>
      <c r="D187" t="s">
        <v>262</v>
      </c>
      <c r="E187" s="1" t="s">
        <v>12</v>
      </c>
      <c r="F187" s="1" t="s">
        <v>258</v>
      </c>
      <c r="G187" s="1" t="s">
        <v>12</v>
      </c>
      <c r="H187" s="1" t="s">
        <v>258</v>
      </c>
      <c r="I187" s="1" t="s">
        <v>259</v>
      </c>
      <c r="J187" s="1" t="s">
        <v>259</v>
      </c>
      <c r="K187" s="1">
        <f>IF(B187=B186,K186,K186+1)</f>
        <v>43</v>
      </c>
      <c r="L187" s="1"/>
      <c r="M187" s="1"/>
      <c r="N187" s="1"/>
      <c r="O187" s="1"/>
      <c r="P187" s="1"/>
      <c r="R187" s="1"/>
      <c r="S187" s="1"/>
    </row>
    <row r="188">
      <c r="A188" s="1" t="s">
        <v>65</v>
      </c>
      <c r="B188" s="1" t="str">
        <f>E188</f>
        <v>Operations</v>
      </c>
      <c r="C188" s="1" t="str">
        <f>F188</f>
        <v>Finance</v>
      </c>
      <c r="D188" s="1" t="s">
        <v>263</v>
      </c>
      <c r="E188" s="1" t="s">
        <v>12</v>
      </c>
      <c r="F188" s="1" t="s">
        <v>258</v>
      </c>
      <c r="G188" s="1" t="s">
        <v>12</v>
      </c>
      <c r="H188" s="1" t="s">
        <v>258</v>
      </c>
      <c r="I188" s="1" t="s">
        <v>259</v>
      </c>
      <c r="J188" s="1" t="s">
        <v>259</v>
      </c>
      <c r="K188" s="1">
        <f>IF(B188=B187,K187,K187+1)</f>
        <v>43</v>
      </c>
      <c r="L188" s="1"/>
      <c r="M188" s="1"/>
      <c r="N188" s="1"/>
      <c r="O188" s="1"/>
      <c r="P188" s="1"/>
      <c r="R188" s="1"/>
      <c r="S188" s="1"/>
    </row>
    <row r="189">
      <c r="A189" s="1" t="s">
        <v>65</v>
      </c>
      <c r="B189" s="1" t="str">
        <f>E189</f>
        <v>Operations</v>
      </c>
      <c r="C189" s="1" t="str">
        <f>F189</f>
        <v>Finance</v>
      </c>
      <c r="D189" s="1" t="s">
        <v>264</v>
      </c>
      <c r="E189" s="1" t="s">
        <v>12</v>
      </c>
      <c r="F189" s="1" t="s">
        <v>258</v>
      </c>
      <c r="G189" s="1" t="s">
        <v>12</v>
      </c>
      <c r="H189" s="1" t="s">
        <v>258</v>
      </c>
      <c r="I189" s="1" t="s">
        <v>259</v>
      </c>
      <c r="J189" s="1" t="s">
        <v>259</v>
      </c>
      <c r="K189" s="1">
        <f>IF(B189=B188,K188,K188+1)</f>
        <v>43</v>
      </c>
      <c r="L189" s="1"/>
      <c r="M189" s="1"/>
      <c r="N189" s="1"/>
      <c r="O189" s="1"/>
      <c r="P189" s="1"/>
      <c r="R189" s="1"/>
      <c r="S189" s="1"/>
    </row>
    <row r="190">
      <c r="A190" s="1" t="s">
        <v>65</v>
      </c>
      <c r="B190" s="1" t="str">
        <f>E190</f>
        <v>Operations</v>
      </c>
      <c r="C190" s="1" t="str">
        <f>F190</f>
        <v>Finance</v>
      </c>
      <c r="D190" s="1" t="s">
        <v>265</v>
      </c>
      <c r="E190" s="1" t="s">
        <v>12</v>
      </c>
      <c r="F190" s="1" t="s">
        <v>258</v>
      </c>
      <c r="G190" s="1" t="s">
        <v>12</v>
      </c>
      <c r="H190" s="1" t="s">
        <v>258</v>
      </c>
      <c r="I190" s="1" t="s">
        <v>259</v>
      </c>
      <c r="J190" s="1" t="s">
        <v>259</v>
      </c>
      <c r="K190" s="1">
        <f>IF(B190=B189,K189,K189+1)</f>
        <v>43</v>
      </c>
      <c r="L190" s="1"/>
      <c r="M190" s="1"/>
      <c r="N190" s="1"/>
      <c r="O190" s="1"/>
      <c r="P190" s="1"/>
      <c r="R190" s="1"/>
      <c r="S190" s="1"/>
    </row>
    <row r="191">
      <c r="A191" s="1" t="s">
        <v>65</v>
      </c>
      <c r="B191" s="1" t="str">
        <f>E191</f>
        <v>Operations</v>
      </c>
      <c r="C191" s="1" t="str">
        <f>F191</f>
        <v>Finance</v>
      </c>
      <c r="D191" s="1" t="s">
        <v>266</v>
      </c>
      <c r="E191" s="1" t="s">
        <v>12</v>
      </c>
      <c r="F191" s="1" t="s">
        <v>258</v>
      </c>
      <c r="G191" s="1" t="s">
        <v>12</v>
      </c>
      <c r="H191" s="1" t="s">
        <v>258</v>
      </c>
      <c r="I191" s="1" t="s">
        <v>259</v>
      </c>
      <c r="J191" s="1" t="s">
        <v>259</v>
      </c>
      <c r="K191" s="1">
        <f>IF(B191=B190,K190,K190+1)</f>
        <v>43</v>
      </c>
      <c r="L191" s="1"/>
      <c r="M191" s="1"/>
      <c r="N191" s="1"/>
      <c r="O191" s="1"/>
      <c r="P191" s="1"/>
      <c r="R191" s="1"/>
      <c r="S191" s="1"/>
    </row>
    <row r="192">
      <c r="A192" s="1" t="s">
        <v>65</v>
      </c>
      <c r="B192" s="1" t="str">
        <f>E192</f>
        <v>Operations</v>
      </c>
      <c r="C192" s="1" t="str">
        <f>F192</f>
        <v>Finance</v>
      </c>
      <c r="D192" s="1" t="s">
        <v>267</v>
      </c>
      <c r="E192" s="1" t="s">
        <v>12</v>
      </c>
      <c r="F192" s="1" t="s">
        <v>258</v>
      </c>
      <c r="G192" s="1" t="s">
        <v>12</v>
      </c>
      <c r="H192" s="1" t="s">
        <v>258</v>
      </c>
      <c r="I192" s="1" t="s">
        <v>259</v>
      </c>
      <c r="J192" s="1" t="s">
        <v>259</v>
      </c>
      <c r="K192" s="1">
        <f>IF(B192=B191,K191,K191+1)</f>
        <v>43</v>
      </c>
      <c r="L192" s="1"/>
      <c r="M192" s="1"/>
      <c r="N192" s="1"/>
      <c r="O192" s="1"/>
      <c r="P192" s="1"/>
      <c r="R192" s="1"/>
      <c r="S192" s="1"/>
    </row>
    <row r="193">
      <c r="A193" s="1" t="s">
        <v>65</v>
      </c>
      <c r="B193" s="1" t="str">
        <f>E193</f>
        <v>Operations</v>
      </c>
      <c r="C193" s="1" t="str">
        <f>F193</f>
        <v>Archives</v>
      </c>
      <c r="D193" s="1" t="s">
        <v>268</v>
      </c>
      <c r="E193" s="1" t="s">
        <v>12</v>
      </c>
      <c r="F193" s="1" t="s">
        <v>269</v>
      </c>
      <c r="G193" s="1" t="s">
        <v>12</v>
      </c>
      <c r="H193" s="1" t="s">
        <v>269</v>
      </c>
      <c r="I193" s="1" t="s">
        <v>270</v>
      </c>
      <c r="J193" s="1" t="s">
        <v>270</v>
      </c>
      <c r="K193" s="1">
        <f>IF(B193=B192,K192,K192+1)</f>
        <v>43</v>
      </c>
      <c r="L193" s="1"/>
      <c r="M193" s="1"/>
      <c r="N193" s="1"/>
      <c r="O193" s="1"/>
      <c r="P193" s="1"/>
      <c r="R193" s="1"/>
      <c r="S193" s="1"/>
    </row>
    <row r="194">
      <c r="A194" s="1" t="s">
        <v>65</v>
      </c>
      <c r="B194" s="1" t="str">
        <f>E194</f>
        <v>Operations</v>
      </c>
      <c r="C194" s="1" t="str">
        <f>F194</f>
        <v>Archives</v>
      </c>
      <c r="D194" s="1" t="s">
        <v>271</v>
      </c>
      <c r="E194" s="1" t="s">
        <v>12</v>
      </c>
      <c r="F194" s="1" t="s">
        <v>269</v>
      </c>
      <c r="G194" s="1" t="s">
        <v>12</v>
      </c>
      <c r="H194" s="1" t="s">
        <v>269</v>
      </c>
      <c r="I194" s="1" t="s">
        <v>270</v>
      </c>
      <c r="J194" s="1" t="s">
        <v>270</v>
      </c>
      <c r="K194" s="1">
        <f>IF(B194=B193,K193,K193+1)</f>
        <v>43</v>
      </c>
      <c r="L194" s="1"/>
      <c r="M194" s="1"/>
      <c r="N194" s="1"/>
      <c r="O194" s="1"/>
      <c r="P194" s="1"/>
      <c r="R194" s="1"/>
      <c r="S194" s="1"/>
    </row>
    <row r="195">
      <c r="A195" s="1" t="s">
        <v>65</v>
      </c>
      <c r="B195" s="1" t="str">
        <f>E195</f>
        <v>Operations</v>
      </c>
      <c r="C195" s="1" t="str">
        <f>F195</f>
        <v>Archives</v>
      </c>
      <c r="D195" s="1" t="s">
        <v>272</v>
      </c>
      <c r="E195" s="1" t="s">
        <v>12</v>
      </c>
      <c r="F195" s="1" t="s">
        <v>269</v>
      </c>
      <c r="G195" s="1" t="s">
        <v>12</v>
      </c>
      <c r="H195" s="1" t="s">
        <v>269</v>
      </c>
      <c r="I195" s="1" t="s">
        <v>270</v>
      </c>
      <c r="J195" s="1" t="s">
        <v>270</v>
      </c>
      <c r="K195" s="1">
        <f>IF(B195=B194,K194,K194+1)</f>
        <v>43</v>
      </c>
      <c r="L195" s="1"/>
      <c r="M195" s="1"/>
      <c r="N195" s="1"/>
      <c r="O195" s="1"/>
      <c r="P195" s="1"/>
      <c r="R195" s="1"/>
      <c r="S195" s="1"/>
    </row>
    <row r="196">
      <c r="A196" s="1" t="s">
        <v>65</v>
      </c>
      <c r="B196" s="1" t="str">
        <f>E196</f>
        <v>Personnel</v>
      </c>
      <c r="C196" s="1" t="str">
        <f>F196</f>
        <v>Office</v>
      </c>
      <c r="D196" s="1" t="s">
        <v>273</v>
      </c>
      <c r="E196" s="1" t="s">
        <v>67</v>
      </c>
      <c r="F196" s="1" t="s">
        <v>274</v>
      </c>
      <c r="G196" s="1" t="s">
        <v>67</v>
      </c>
      <c r="H196" s="1" t="s">
        <v>274</v>
      </c>
      <c r="I196" s="1" t="s">
        <v>275</v>
      </c>
      <c r="J196" s="1" t="s">
        <v>276</v>
      </c>
      <c r="K196" s="1">
        <f>IF(B196=B195,K195,K195+1)</f>
        <v>44</v>
      </c>
      <c r="L196" s="1"/>
      <c r="M196" s="1"/>
      <c r="N196" s="1"/>
      <c r="O196" s="1"/>
      <c r="P196" s="1"/>
      <c r="R196" s="1"/>
      <c r="S196" s="1"/>
    </row>
    <row r="197">
      <c r="A197" s="1" t="s">
        <v>65</v>
      </c>
      <c r="B197" s="1" t="str">
        <f>E197</f>
        <v>Personnel</v>
      </c>
      <c r="C197" s="1" t="str">
        <f>F197</f>
        <v>Office</v>
      </c>
      <c r="D197" s="1" t="s">
        <v>277</v>
      </c>
      <c r="E197" s="1" t="s">
        <v>67</v>
      </c>
      <c r="F197" s="1" t="s">
        <v>274</v>
      </c>
      <c r="G197" s="1" t="s">
        <v>67</v>
      </c>
      <c r="H197" s="1" t="s">
        <v>274</v>
      </c>
      <c r="I197" s="1" t="s">
        <v>275</v>
      </c>
      <c r="J197" s="1" t="s">
        <v>276</v>
      </c>
      <c r="K197" s="1">
        <f>IF(B197=B196,K196,K196+1)</f>
        <v>44</v>
      </c>
      <c r="L197" s="1"/>
      <c r="M197" s="1"/>
      <c r="N197" s="1"/>
      <c r="O197" s="1"/>
      <c r="P197" s="1"/>
      <c r="R197" s="1"/>
      <c r="S197" s="1"/>
    </row>
    <row r="198">
      <c r="A198" s="1" t="s">
        <v>65</v>
      </c>
      <c r="B198" s="1" t="str">
        <f>E198</f>
        <v>Personnel</v>
      </c>
      <c r="C198" s="1" t="str">
        <f>F198</f>
        <v>Office</v>
      </c>
      <c r="D198" s="1" t="s">
        <v>278</v>
      </c>
      <c r="E198" s="1" t="s">
        <v>67</v>
      </c>
      <c r="F198" s="1" t="s">
        <v>274</v>
      </c>
      <c r="G198" s="1" t="s">
        <v>67</v>
      </c>
      <c r="H198" s="1" t="s">
        <v>274</v>
      </c>
      <c r="I198" s="1" t="s">
        <v>275</v>
      </c>
      <c r="J198" s="1" t="s">
        <v>276</v>
      </c>
      <c r="K198" s="1">
        <f>IF(B198=B197,K197,K197+1)</f>
        <v>44</v>
      </c>
      <c r="L198" s="1"/>
      <c r="M198" s="1"/>
      <c r="N198" s="1"/>
      <c r="O198" s="1"/>
      <c r="P198" s="1"/>
      <c r="R198" s="1"/>
      <c r="S198" s="1"/>
    </row>
    <row r="199">
      <c r="A199" s="1" t="s">
        <v>65</v>
      </c>
      <c r="B199" s="1" t="str">
        <f>E199</f>
        <v>Personnel</v>
      </c>
      <c r="C199" s="1" t="str">
        <f>F199</f>
        <v>Office</v>
      </c>
      <c r="D199" s="1" t="s">
        <v>279</v>
      </c>
      <c r="E199" s="1" t="s">
        <v>67</v>
      </c>
      <c r="F199" s="1" t="s">
        <v>274</v>
      </c>
      <c r="G199" s="1" t="s">
        <v>67</v>
      </c>
      <c r="H199" s="1" t="s">
        <v>274</v>
      </c>
      <c r="I199" s="1" t="s">
        <v>275</v>
      </c>
      <c r="J199" s="1" t="s">
        <v>276</v>
      </c>
      <c r="K199" s="1">
        <f>IF(B199=B198,K198,K198+1)</f>
        <v>44</v>
      </c>
      <c r="L199" s="1"/>
      <c r="M199" s="1"/>
      <c r="N199" s="1"/>
      <c r="O199" s="1"/>
      <c r="P199" s="1"/>
      <c r="R199" s="1"/>
      <c r="S199" s="1"/>
    </row>
    <row r="200">
      <c r="A200" s="1" t="s">
        <v>65</v>
      </c>
      <c r="B200" s="1" t="str">
        <f>E200</f>
        <v>Personnel</v>
      </c>
      <c r="C200" s="1" t="str">
        <f>F200</f>
        <v>Office</v>
      </c>
      <c r="D200" s="1" t="s">
        <v>280</v>
      </c>
      <c r="E200" s="1" t="s">
        <v>67</v>
      </c>
      <c r="F200" s="1" t="s">
        <v>274</v>
      </c>
      <c r="G200" s="1" t="s">
        <v>67</v>
      </c>
      <c r="H200" s="1" t="s">
        <v>274</v>
      </c>
      <c r="I200" s="1" t="s">
        <v>275</v>
      </c>
      <c r="J200" s="1" t="s">
        <v>276</v>
      </c>
      <c r="K200" s="1">
        <f>IF(B200=B199,K199,K199+1)</f>
        <v>44</v>
      </c>
      <c r="L200" s="1"/>
      <c r="M200" s="1"/>
      <c r="N200" s="1"/>
      <c r="O200" s="1"/>
      <c r="P200" s="1"/>
      <c r="R200" s="1"/>
      <c r="S200" s="1"/>
    </row>
    <row r="201">
      <c r="A201" s="1" t="s">
        <v>65</v>
      </c>
      <c r="B201" s="1" t="str">
        <f>E201</f>
        <v>Operations</v>
      </c>
      <c r="C201" s="1" t="str">
        <f>F201</f>
        <v>Office</v>
      </c>
      <c r="D201" s="11" t="s">
        <v>281</v>
      </c>
      <c r="E201" s="1" t="s">
        <v>12</v>
      </c>
      <c r="F201" s="1" t="s">
        <v>274</v>
      </c>
      <c r="G201" s="1" t="s">
        <v>12</v>
      </c>
      <c r="H201" s="1" t="s">
        <v>274</v>
      </c>
      <c r="I201" s="1" t="s">
        <v>275</v>
      </c>
      <c r="J201" s="1" t="s">
        <v>282</v>
      </c>
      <c r="K201" s="1">
        <f>IF(B201=B200,K200,K200+1)</f>
        <v>45</v>
      </c>
      <c r="L201" s="1"/>
      <c r="M201" s="1"/>
      <c r="N201" s="1"/>
      <c r="O201" s="1"/>
      <c r="P201" s="1"/>
      <c r="R201" s="1"/>
      <c r="S201" s="1"/>
    </row>
    <row r="202">
      <c r="A202" s="1" t="s">
        <v>65</v>
      </c>
      <c r="B202" s="1" t="str">
        <f>E202</f>
        <v>Personnel</v>
      </c>
      <c r="C202" s="1" t="str">
        <f>F202</f>
        <v>Office</v>
      </c>
      <c r="D202" s="11" t="s">
        <v>283</v>
      </c>
      <c r="E202" s="1" t="s">
        <v>67</v>
      </c>
      <c r="F202" s="1" t="s">
        <v>274</v>
      </c>
      <c r="G202" s="1" t="s">
        <v>67</v>
      </c>
      <c r="H202" s="1" t="s">
        <v>274</v>
      </c>
      <c r="I202" s="1" t="s">
        <v>275</v>
      </c>
      <c r="J202" s="1" t="s">
        <v>282</v>
      </c>
      <c r="K202" s="1">
        <f>IF(B202=B201,K201,K201+1)</f>
        <v>46</v>
      </c>
      <c r="L202" s="1"/>
      <c r="M202" s="1"/>
      <c r="N202" s="1"/>
      <c r="O202" s="1"/>
      <c r="P202" s="1"/>
      <c r="R202" s="1"/>
      <c r="S202" s="1"/>
    </row>
    <row r="203">
      <c r="A203" s="1" t="s">
        <v>65</v>
      </c>
      <c r="B203" s="1" t="str">
        <f>E203</f>
        <v>Operations</v>
      </c>
      <c r="C203" s="1" t="str">
        <f>F203</f>
        <v>Office</v>
      </c>
      <c r="D203" s="1" t="s">
        <v>284</v>
      </c>
      <c r="E203" s="1" t="s">
        <v>12</v>
      </c>
      <c r="F203" s="1" t="s">
        <v>274</v>
      </c>
      <c r="G203" s="1" t="s">
        <v>12</v>
      </c>
      <c r="H203" s="1" t="s">
        <v>274</v>
      </c>
      <c r="I203" s="1" t="s">
        <v>275</v>
      </c>
      <c r="J203" s="1" t="s">
        <v>282</v>
      </c>
      <c r="K203" s="1">
        <f>IF(B203=B202,K202,K202+1)</f>
        <v>47</v>
      </c>
      <c r="L203" s="1"/>
      <c r="M203" s="1"/>
      <c r="N203" s="1"/>
      <c r="O203" s="1"/>
      <c r="P203" s="1"/>
      <c r="R203" s="1"/>
      <c r="S203" s="1"/>
    </row>
    <row r="204">
      <c r="A204" s="1" t="s">
        <v>65</v>
      </c>
      <c r="B204" s="1" t="str">
        <f>E204</f>
        <v>Operations</v>
      </c>
      <c r="C204" s="1" t="str">
        <f>F204</f>
        <v>Office</v>
      </c>
      <c r="D204" s="1" t="s">
        <v>285</v>
      </c>
      <c r="E204" s="1" t="s">
        <v>12</v>
      </c>
      <c r="F204" s="1" t="s">
        <v>274</v>
      </c>
      <c r="G204" s="1" t="s">
        <v>12</v>
      </c>
      <c r="H204" s="1" t="s">
        <v>274</v>
      </c>
      <c r="I204" s="1" t="s">
        <v>275</v>
      </c>
      <c r="J204" s="1" t="s">
        <v>282</v>
      </c>
      <c r="K204" s="1">
        <f>IF(B204=B203,K203,K203+1)</f>
        <v>47</v>
      </c>
      <c r="L204" s="1"/>
      <c r="M204" s="1"/>
      <c r="N204" s="1"/>
      <c r="O204" s="1"/>
      <c r="P204" s="1"/>
      <c r="R204" s="1"/>
      <c r="S204" s="1"/>
    </row>
    <row r="205">
      <c r="A205" s="1" t="s">
        <v>65</v>
      </c>
      <c r="B205" s="1" t="str">
        <f>E205</f>
        <v>Operations</v>
      </c>
      <c r="C205" s="1" t="str">
        <f>F205</f>
        <v>Office</v>
      </c>
      <c r="D205" s="1" t="s">
        <v>286</v>
      </c>
      <c r="E205" s="1" t="s">
        <v>12</v>
      </c>
      <c r="F205" s="1" t="s">
        <v>274</v>
      </c>
      <c r="G205" s="1" t="s">
        <v>12</v>
      </c>
      <c r="H205" s="1" t="s">
        <v>274</v>
      </c>
      <c r="I205" s="1" t="s">
        <v>275</v>
      </c>
      <c r="J205" s="1" t="s">
        <v>282</v>
      </c>
      <c r="K205" s="1">
        <f>IF(B205=B204,K204,K204+1)</f>
        <v>47</v>
      </c>
      <c r="L205" s="1"/>
      <c r="M205" s="1"/>
      <c r="N205" s="1"/>
      <c r="O205" s="1"/>
      <c r="P205" s="1"/>
      <c r="R205" s="1"/>
      <c r="S205" s="1"/>
    </row>
    <row r="206">
      <c r="A206" s="1" t="s">
        <v>65</v>
      </c>
      <c r="B206" s="1" t="str">
        <f>E206</f>
        <v>Operations</v>
      </c>
      <c r="C206" s="1" t="str">
        <f>F206</f>
        <v>Office</v>
      </c>
      <c r="D206" s="1" t="s">
        <v>287</v>
      </c>
      <c r="E206" s="1" t="s">
        <v>12</v>
      </c>
      <c r="F206" s="1" t="s">
        <v>274</v>
      </c>
      <c r="G206" s="1" t="s">
        <v>12</v>
      </c>
      <c r="H206" s="1" t="s">
        <v>274</v>
      </c>
      <c r="I206" s="1" t="s">
        <v>275</v>
      </c>
      <c r="J206" s="1" t="s">
        <v>282</v>
      </c>
      <c r="K206" s="1">
        <f>IF(B206=B205,K205,K205+1)</f>
        <v>47</v>
      </c>
      <c r="L206" s="1"/>
      <c r="M206" s="1"/>
      <c r="N206" s="1"/>
      <c r="O206" s="1"/>
      <c r="P206" s="1"/>
      <c r="R206" s="1"/>
      <c r="S206" s="1"/>
    </row>
    <row r="207">
      <c r="A207" s="1" t="s">
        <v>65</v>
      </c>
      <c r="B207" s="1" t="str">
        <f>E207</f>
        <v>Operations</v>
      </c>
      <c r="C207" s="1" t="str">
        <f>F207</f>
        <v>Office</v>
      </c>
      <c r="D207" s="1" t="s">
        <v>288</v>
      </c>
      <c r="E207" s="1" t="s">
        <v>12</v>
      </c>
      <c r="F207" s="1" t="s">
        <v>274</v>
      </c>
      <c r="G207" s="1" t="s">
        <v>12</v>
      </c>
      <c r="H207" s="1" t="s">
        <v>274</v>
      </c>
      <c r="I207" s="1" t="s">
        <v>275</v>
      </c>
      <c r="J207" s="1" t="s">
        <v>282</v>
      </c>
      <c r="K207" s="1">
        <f>IF(B207=B206,K206,K206+1)</f>
        <v>47</v>
      </c>
      <c r="L207" s="1"/>
      <c r="M207" s="1"/>
      <c r="N207" s="1"/>
      <c r="O207" s="1"/>
      <c r="P207" s="1"/>
      <c r="R207" s="1"/>
      <c r="S207" s="1"/>
    </row>
    <row r="208">
      <c r="A208" s="1" t="s">
        <v>65</v>
      </c>
      <c r="B208" s="1" t="str">
        <f>E208</f>
        <v>Operations</v>
      </c>
      <c r="C208" s="1" t="str">
        <f>F208</f>
        <v>Office</v>
      </c>
      <c r="D208" s="1" t="s">
        <v>289</v>
      </c>
      <c r="E208" s="1" t="s">
        <v>12</v>
      </c>
      <c r="F208" s="1" t="s">
        <v>274</v>
      </c>
      <c r="G208" s="1" t="s">
        <v>12</v>
      </c>
      <c r="H208" s="1" t="s">
        <v>274</v>
      </c>
      <c r="I208" s="1" t="s">
        <v>275</v>
      </c>
      <c r="J208" s="1" t="s">
        <v>282</v>
      </c>
      <c r="K208" s="1">
        <f>IF(B208=B207,K207,K207+1)</f>
        <v>47</v>
      </c>
      <c r="L208" s="1"/>
      <c r="M208" s="1"/>
      <c r="N208" s="1"/>
      <c r="O208" s="1"/>
      <c r="P208" s="1"/>
      <c r="R208" s="1"/>
      <c r="S208" s="1"/>
    </row>
    <row r="209">
      <c r="A209" s="1" t="s">
        <v>65</v>
      </c>
      <c r="B209" s="1" t="str">
        <f>E209</f>
        <v>Operations</v>
      </c>
      <c r="C209" s="1" t="str">
        <f>F209</f>
        <v>Office</v>
      </c>
      <c r="D209" s="1" t="s">
        <v>290</v>
      </c>
      <c r="E209" s="1" t="s">
        <v>12</v>
      </c>
      <c r="F209" s="1" t="s">
        <v>274</v>
      </c>
      <c r="G209" s="1" t="s">
        <v>12</v>
      </c>
      <c r="H209" s="1" t="s">
        <v>274</v>
      </c>
      <c r="I209" s="1" t="s">
        <v>275</v>
      </c>
      <c r="J209" s="1" t="s">
        <v>282</v>
      </c>
      <c r="K209" s="1">
        <f>IF(B209=B208,K208,K208+1)</f>
        <v>47</v>
      </c>
      <c r="L209" s="1"/>
      <c r="M209" s="1"/>
      <c r="N209" s="1"/>
      <c r="O209" s="1"/>
      <c r="P209" s="1"/>
      <c r="R209" s="1"/>
      <c r="S209" s="1"/>
    </row>
    <row r="210">
      <c r="A210" s="1" t="s">
        <v>65</v>
      </c>
      <c r="B210" s="1" t="str">
        <f>E210</f>
        <v>Operations</v>
      </c>
      <c r="C210" s="1" t="str">
        <f>F210</f>
        <v>Office</v>
      </c>
      <c r="D210" s="1" t="s">
        <v>291</v>
      </c>
      <c r="E210" s="1" t="s">
        <v>12</v>
      </c>
      <c r="F210" s="1" t="s">
        <v>274</v>
      </c>
      <c r="G210" s="1" t="s">
        <v>12</v>
      </c>
      <c r="H210" s="1" t="s">
        <v>274</v>
      </c>
      <c r="I210" s="1" t="s">
        <v>275</v>
      </c>
      <c r="J210" s="1" t="s">
        <v>282</v>
      </c>
      <c r="K210" s="1">
        <f>IF(B210=B209,K209,K209+1)</f>
        <v>47</v>
      </c>
      <c r="L210" s="1"/>
      <c r="M210" s="1"/>
      <c r="N210" s="1"/>
      <c r="O210" s="1"/>
      <c r="P210" s="1"/>
      <c r="R210" s="1"/>
      <c r="S210" s="1"/>
    </row>
    <row r="211">
      <c r="A211" s="1" t="s">
        <v>65</v>
      </c>
      <c r="B211" s="1" t="str">
        <f>E211</f>
        <v>Operations</v>
      </c>
      <c r="C211" s="1" t="str">
        <f>F211</f>
        <v>Office</v>
      </c>
      <c r="D211" s="1" t="s">
        <v>292</v>
      </c>
      <c r="E211" s="1" t="s">
        <v>12</v>
      </c>
      <c r="F211" s="1" t="s">
        <v>274</v>
      </c>
      <c r="G211" s="1" t="s">
        <v>12</v>
      </c>
      <c r="H211" s="1" t="s">
        <v>274</v>
      </c>
      <c r="I211" s="1" t="s">
        <v>275</v>
      </c>
      <c r="J211" s="1" t="s">
        <v>282</v>
      </c>
      <c r="K211" s="1">
        <f>IF(B211=B210,K210,K210+1)</f>
        <v>47</v>
      </c>
      <c r="L211" s="1"/>
      <c r="M211" s="1"/>
      <c r="N211" s="1"/>
      <c r="O211" s="1"/>
      <c r="P211" s="1"/>
      <c r="R211" s="1"/>
      <c r="S211" s="1"/>
    </row>
    <row r="212">
      <c r="A212" s="1" t="s">
        <v>65</v>
      </c>
      <c r="B212" s="1" t="str">
        <f>E212</f>
        <v>Operations</v>
      </c>
      <c r="C212" s="1" t="str">
        <f>F212</f>
        <v>Office</v>
      </c>
      <c r="D212" s="1" t="s">
        <v>293</v>
      </c>
      <c r="E212" s="1" t="s">
        <v>12</v>
      </c>
      <c r="F212" s="1" t="s">
        <v>274</v>
      </c>
      <c r="G212" s="1" t="s">
        <v>12</v>
      </c>
      <c r="H212" s="1" t="s">
        <v>274</v>
      </c>
      <c r="I212" s="1" t="s">
        <v>275</v>
      </c>
      <c r="J212" s="1" t="s">
        <v>282</v>
      </c>
      <c r="K212" s="1">
        <f>IF(B212=B211,K211,K211+1)</f>
        <v>47</v>
      </c>
      <c r="L212" s="1"/>
      <c r="M212" s="1"/>
      <c r="N212" s="1"/>
      <c r="O212" s="1"/>
      <c r="P212" s="1"/>
      <c r="R212" s="1"/>
      <c r="S212" s="1"/>
    </row>
    <row r="213">
      <c r="A213" s="1" t="s">
        <v>65</v>
      </c>
      <c r="B213" s="1" t="str">
        <f>E213</f>
        <v>Operations</v>
      </c>
      <c r="C213" s="1" t="str">
        <f>F213</f>
        <v>Office</v>
      </c>
      <c r="D213" s="1" t="s">
        <v>294</v>
      </c>
      <c r="E213" s="1" t="s">
        <v>12</v>
      </c>
      <c r="F213" s="1" t="s">
        <v>274</v>
      </c>
      <c r="G213" s="1" t="s">
        <v>12</v>
      </c>
      <c r="H213" s="1" t="s">
        <v>274</v>
      </c>
      <c r="I213" s="1" t="s">
        <v>275</v>
      </c>
      <c r="J213" s="1" t="s">
        <v>282</v>
      </c>
      <c r="K213" s="1">
        <f>IF(B213=B212,K212,K212+1)</f>
        <v>47</v>
      </c>
      <c r="L213" s="1"/>
      <c r="M213" s="1"/>
      <c r="N213" s="1"/>
      <c r="O213" s="1"/>
      <c r="P213" s="1"/>
      <c r="R213" s="1"/>
      <c r="S213" s="1"/>
    </row>
    <row r="214">
      <c r="A214" s="1" t="s">
        <v>65</v>
      </c>
      <c r="B214" s="1" t="str">
        <f>E214</f>
        <v>Operations</v>
      </c>
      <c r="C214" s="1" t="str">
        <f>F214</f>
        <v>Office</v>
      </c>
      <c r="D214" s="1" t="s">
        <v>295</v>
      </c>
      <c r="E214" s="1" t="s">
        <v>12</v>
      </c>
      <c r="F214" s="1" t="s">
        <v>274</v>
      </c>
      <c r="G214" s="1" t="s">
        <v>12</v>
      </c>
      <c r="H214" s="1" t="s">
        <v>274</v>
      </c>
      <c r="I214" s="1" t="s">
        <v>275</v>
      </c>
      <c r="J214" s="1" t="s">
        <v>282</v>
      </c>
      <c r="K214" s="1">
        <f>IF(B214=B213,K213,K213+1)</f>
        <v>47</v>
      </c>
      <c r="L214" s="1"/>
      <c r="M214" s="1"/>
      <c r="N214" s="1"/>
      <c r="O214" s="1"/>
      <c r="P214" s="1"/>
      <c r="R214" s="1"/>
      <c r="S214" s="1"/>
    </row>
    <row r="215">
      <c r="A215" s="1" t="s">
        <v>65</v>
      </c>
      <c r="B215" s="1" t="str">
        <f>E215</f>
        <v>Operations</v>
      </c>
      <c r="C215" s="1" t="str">
        <f>F215</f>
        <v>Office</v>
      </c>
      <c r="D215" s="1" t="s">
        <v>296</v>
      </c>
      <c r="E215" s="1" t="s">
        <v>12</v>
      </c>
      <c r="F215" s="1" t="s">
        <v>274</v>
      </c>
      <c r="G215" s="1" t="s">
        <v>12</v>
      </c>
      <c r="H215" s="1" t="s">
        <v>274</v>
      </c>
      <c r="I215" s="1" t="s">
        <v>275</v>
      </c>
      <c r="J215" s="1" t="s">
        <v>282</v>
      </c>
      <c r="K215" s="1">
        <f>IF(B215=B214,K214,K214+1)</f>
        <v>47</v>
      </c>
      <c r="L215" s="1"/>
      <c r="M215" s="1"/>
      <c r="N215" s="1"/>
      <c r="O215" s="1"/>
      <c r="P215" s="1"/>
      <c r="R215" s="1"/>
      <c r="S215" s="1"/>
    </row>
    <row r="216">
      <c r="A216" s="1" t="s">
        <v>65</v>
      </c>
      <c r="B216" s="1" t="str">
        <f>E216</f>
        <v>Personnel</v>
      </c>
      <c r="C216" s="1" t="str">
        <f>F216</f>
        <v>Office</v>
      </c>
      <c r="D216" t="s">
        <v>297</v>
      </c>
      <c r="E216" s="1" t="s">
        <v>67</v>
      </c>
      <c r="F216" s="1" t="s">
        <v>274</v>
      </c>
      <c r="G216" s="1" t="s">
        <v>67</v>
      </c>
      <c r="H216" s="1" t="s">
        <v>274</v>
      </c>
      <c r="I216" s="1" t="s">
        <v>275</v>
      </c>
      <c r="J216" s="1" t="s">
        <v>282</v>
      </c>
      <c r="K216" s="1">
        <f>IF(B216=B215,K215,K215+1)</f>
        <v>48</v>
      </c>
      <c r="L216" s="1"/>
      <c r="M216" s="1"/>
      <c r="N216" s="1"/>
      <c r="O216" s="1"/>
      <c r="P216" s="1"/>
      <c r="R216" s="1"/>
      <c r="S216" s="1"/>
    </row>
    <row r="217">
      <c r="A217" s="1" t="s">
        <v>65</v>
      </c>
      <c r="B217" s="1" t="str">
        <f>E217</f>
        <v>Operations</v>
      </c>
      <c r="C217" s="1" t="str">
        <f>F217</f>
        <v>Communications</v>
      </c>
      <c r="D217" s="1" t="s">
        <v>298</v>
      </c>
      <c r="E217" s="1" t="s">
        <v>12</v>
      </c>
      <c r="F217" s="1" t="s">
        <v>299</v>
      </c>
      <c r="G217" s="1" t="s">
        <v>12</v>
      </c>
      <c r="H217" s="1" t="s">
        <v>299</v>
      </c>
      <c r="I217" s="1" t="s">
        <v>300</v>
      </c>
      <c r="J217" s="1" t="s">
        <v>301</v>
      </c>
      <c r="K217" s="1">
        <f>IF(B217=B216,K216,K216+1)</f>
        <v>49</v>
      </c>
      <c r="L217" s="1"/>
      <c r="M217" s="1"/>
      <c r="N217" s="1"/>
      <c r="O217" s="1"/>
      <c r="P217" s="1"/>
      <c r="R217" s="1"/>
      <c r="S217" s="1"/>
    </row>
    <row r="218">
      <c r="A218" s="1" t="s">
        <v>65</v>
      </c>
      <c r="B218" s="1" t="str">
        <f>E218</f>
        <v>Operations</v>
      </c>
      <c r="C218" s="1" t="str">
        <f>F218</f>
        <v>Communications</v>
      </c>
      <c r="D218" s="1" t="s">
        <v>302</v>
      </c>
      <c r="E218" s="1" t="s">
        <v>12</v>
      </c>
      <c r="F218" s="1" t="s">
        <v>299</v>
      </c>
      <c r="G218" s="1" t="s">
        <v>12</v>
      </c>
      <c r="H218" s="1" t="s">
        <v>299</v>
      </c>
      <c r="I218" s="1" t="s">
        <v>300</v>
      </c>
      <c r="J218" s="1" t="s">
        <v>301</v>
      </c>
      <c r="K218" s="1">
        <f>IF(B218=B217,K217,K217+1)</f>
        <v>49</v>
      </c>
      <c r="L218" s="1"/>
      <c r="M218" s="1"/>
      <c r="N218" s="1"/>
      <c r="O218" s="1"/>
      <c r="P218" s="1"/>
      <c r="R218" s="1"/>
      <c r="S218" s="1"/>
    </row>
    <row r="219">
      <c r="A219" s="1" t="s">
        <v>65</v>
      </c>
      <c r="B219" s="1" t="str">
        <f>E219</f>
        <v>Operations</v>
      </c>
      <c r="C219" s="1" t="str">
        <f>F219</f>
        <v>Communications</v>
      </c>
      <c r="D219" s="1" t="s">
        <v>303</v>
      </c>
      <c r="E219" s="1" t="s">
        <v>12</v>
      </c>
      <c r="F219" s="1" t="s">
        <v>299</v>
      </c>
      <c r="G219" s="1" t="s">
        <v>12</v>
      </c>
      <c r="H219" s="1" t="s">
        <v>299</v>
      </c>
      <c r="I219" s="1" t="s">
        <v>300</v>
      </c>
      <c r="J219" s="1" t="s">
        <v>301</v>
      </c>
      <c r="K219" s="1">
        <f>IF(B219=B218,K218,K218+1)</f>
        <v>49</v>
      </c>
      <c r="L219" s="1"/>
      <c r="M219" s="1"/>
      <c r="N219" s="1"/>
      <c r="O219" s="1"/>
      <c r="P219" s="1"/>
      <c r="R219" s="1"/>
      <c r="S219" s="1"/>
    </row>
    <row r="220">
      <c r="A220" s="1" t="s">
        <v>65</v>
      </c>
      <c r="B220" s="1" t="str">
        <f>E220</f>
        <v>Operations</v>
      </c>
      <c r="C220" s="1" t="str">
        <f>F220</f>
        <v>Communications</v>
      </c>
      <c r="D220" s="1" t="s">
        <v>304</v>
      </c>
      <c r="E220" s="1" t="s">
        <v>12</v>
      </c>
      <c r="F220" s="1" t="s">
        <v>299</v>
      </c>
      <c r="G220" s="1" t="s">
        <v>12</v>
      </c>
      <c r="H220" s="1" t="s">
        <v>299</v>
      </c>
      <c r="I220" s="1" t="s">
        <v>300</v>
      </c>
      <c r="J220" s="1" t="s">
        <v>301</v>
      </c>
      <c r="K220" s="1">
        <f>IF(B220=B219,K219,K219+1)</f>
        <v>49</v>
      </c>
      <c r="L220" s="1"/>
      <c r="M220" s="1"/>
      <c r="N220" s="1"/>
      <c r="O220" s="1"/>
      <c r="P220" s="1"/>
      <c r="R220" s="1"/>
      <c r="S220" s="1"/>
    </row>
    <row r="221">
      <c r="A221" s="1" t="s">
        <v>65</v>
      </c>
      <c r="B221" s="1" t="str">
        <f>E221</f>
        <v>Operations</v>
      </c>
      <c r="C221" s="1" t="str">
        <f>F221</f>
        <v>Communications</v>
      </c>
      <c r="D221" s="1" t="s">
        <v>305</v>
      </c>
      <c r="E221" s="1" t="s">
        <v>12</v>
      </c>
      <c r="F221" s="1" t="s">
        <v>299</v>
      </c>
      <c r="G221" s="1" t="s">
        <v>12</v>
      </c>
      <c r="H221" s="1" t="s">
        <v>299</v>
      </c>
      <c r="I221" s="1" t="s">
        <v>300</v>
      </c>
      <c r="J221" s="1" t="s">
        <v>301</v>
      </c>
      <c r="K221" s="1">
        <f>IF(B221=B220,K220,K220+1)</f>
        <v>49</v>
      </c>
      <c r="L221" s="1"/>
      <c r="M221" s="1"/>
      <c r="N221" s="1"/>
      <c r="O221" s="1"/>
      <c r="P221" s="1"/>
      <c r="R221" s="1"/>
      <c r="S221" s="1"/>
    </row>
    <row r="222">
      <c r="A222" s="1" t="s">
        <v>65</v>
      </c>
      <c r="B222" s="1" t="str">
        <f>E222</f>
        <v>Operations</v>
      </c>
      <c r="C222" s="1" t="str">
        <f>F222</f>
        <v>Communications</v>
      </c>
      <c r="D222" s="1" t="s">
        <v>306</v>
      </c>
      <c r="E222" s="1" t="s">
        <v>12</v>
      </c>
      <c r="F222" s="1" t="s">
        <v>299</v>
      </c>
      <c r="G222" s="1" t="s">
        <v>12</v>
      </c>
      <c r="H222" s="1" t="s">
        <v>299</v>
      </c>
      <c r="I222" s="1" t="s">
        <v>300</v>
      </c>
      <c r="J222" s="1" t="s">
        <v>301</v>
      </c>
      <c r="K222" s="1">
        <f>IF(B222=B221,K221,K221+1)</f>
        <v>49</v>
      </c>
      <c r="L222" s="1"/>
      <c r="M222" s="1"/>
      <c r="N222" s="1"/>
      <c r="O222" s="1"/>
      <c r="P222" s="1"/>
      <c r="R222" s="1"/>
      <c r="S222" s="1"/>
    </row>
    <row r="223">
      <c r="A223" s="1" t="s">
        <v>65</v>
      </c>
      <c r="B223" s="1" t="str">
        <f>E223</f>
        <v>Personnel</v>
      </c>
      <c r="C223" s="1" t="str">
        <f>F223</f>
        <v xml:space="preserve">Communication Specialist</v>
      </c>
      <c r="D223" s="1" t="s">
        <v>307</v>
      </c>
      <c r="E223" s="1" t="s">
        <v>67</v>
      </c>
      <c r="F223" s="1" t="s">
        <v>308</v>
      </c>
      <c r="G223" s="1" t="s">
        <v>67</v>
      </c>
      <c r="H223" s="1" t="s">
        <v>308</v>
      </c>
      <c r="I223" s="1" t="s">
        <v>300</v>
      </c>
      <c r="J223" s="1" t="s">
        <v>309</v>
      </c>
      <c r="K223" s="1">
        <f>IF(B223=B222,K222,K222+1)</f>
        <v>50</v>
      </c>
      <c r="L223" s="1"/>
      <c r="M223" s="1"/>
      <c r="N223" s="1"/>
      <c r="O223" s="1"/>
      <c r="P223" s="1"/>
      <c r="R223" s="1"/>
      <c r="S223" s="1"/>
    </row>
    <row r="224">
      <c r="A224" s="1" t="s">
        <v>65</v>
      </c>
      <c r="B224" s="1" t="str">
        <f>E224</f>
        <v>Personnel</v>
      </c>
      <c r="C224" s="1" t="str">
        <f>F224</f>
        <v xml:space="preserve">Communication Specialist</v>
      </c>
      <c r="D224" s="1" t="s">
        <v>310</v>
      </c>
      <c r="E224" s="1" t="s">
        <v>67</v>
      </c>
      <c r="F224" s="1" t="s">
        <v>308</v>
      </c>
      <c r="G224" s="1" t="s">
        <v>67</v>
      </c>
      <c r="H224" s="1" t="s">
        <v>308</v>
      </c>
      <c r="I224" s="1" t="s">
        <v>300</v>
      </c>
      <c r="J224" s="1" t="s">
        <v>309</v>
      </c>
      <c r="K224" s="1">
        <f>IF(B224=B223,K223,K223+1)</f>
        <v>50</v>
      </c>
      <c r="L224" s="1"/>
      <c r="M224" s="1"/>
      <c r="N224" s="1"/>
      <c r="O224" s="1"/>
      <c r="P224" s="1"/>
      <c r="R224" s="1"/>
      <c r="S224" s="1"/>
    </row>
    <row r="225">
      <c r="A225" s="1" t="s">
        <v>65</v>
      </c>
      <c r="B225" s="1" t="str">
        <f>E225</f>
        <v>Personnel</v>
      </c>
      <c r="C225" s="1" t="str">
        <f>F225</f>
        <v xml:space="preserve">Communication Specialist</v>
      </c>
      <c r="D225" s="1" t="s">
        <v>311</v>
      </c>
      <c r="E225" s="1" t="s">
        <v>67</v>
      </c>
      <c r="F225" s="1" t="s">
        <v>308</v>
      </c>
      <c r="G225" s="1" t="s">
        <v>67</v>
      </c>
      <c r="H225" s="1" t="s">
        <v>308</v>
      </c>
      <c r="I225" s="1" t="s">
        <v>300</v>
      </c>
      <c r="J225" s="1" t="s">
        <v>309</v>
      </c>
      <c r="K225" s="1">
        <f>IF(B225=B224,K224,K224+1)</f>
        <v>50</v>
      </c>
      <c r="L225" s="1"/>
      <c r="M225" s="1"/>
      <c r="N225" s="1"/>
      <c r="O225" s="1"/>
      <c r="P225" s="1"/>
      <c r="R225" s="1"/>
      <c r="S225" s="1"/>
    </row>
    <row r="226">
      <c r="A226" s="1" t="s">
        <v>65</v>
      </c>
      <c r="B226" s="1" t="str">
        <f>E226</f>
        <v>Personnel</v>
      </c>
      <c r="C226" s="1" t="str">
        <f>F226</f>
        <v xml:space="preserve">Communication Specialist</v>
      </c>
      <c r="D226" s="1" t="s">
        <v>312</v>
      </c>
      <c r="E226" s="1" t="s">
        <v>67</v>
      </c>
      <c r="F226" s="1" t="s">
        <v>308</v>
      </c>
      <c r="G226" s="1" t="s">
        <v>67</v>
      </c>
      <c r="H226" s="1" t="s">
        <v>308</v>
      </c>
      <c r="I226" s="1" t="s">
        <v>300</v>
      </c>
      <c r="J226" s="1" t="s">
        <v>309</v>
      </c>
      <c r="K226" s="1">
        <f>IF(B226=B225,K225,K225+1)</f>
        <v>50</v>
      </c>
      <c r="L226" s="1"/>
      <c r="M226" s="1"/>
      <c r="N226" s="1"/>
      <c r="O226" s="1"/>
      <c r="P226" s="1"/>
      <c r="R226" s="1"/>
      <c r="S226" s="1"/>
    </row>
    <row r="227">
      <c r="A227" s="1" t="s">
        <v>10</v>
      </c>
      <c r="B227" s="1" t="str">
        <f>E227</f>
        <v>Designated</v>
      </c>
      <c r="C227" s="1" t="str">
        <f>F227</f>
        <v xml:space="preserve">Other income</v>
      </c>
      <c r="D227" s="1" t="s">
        <v>313</v>
      </c>
      <c r="E227" s="1" t="s">
        <v>35</v>
      </c>
      <c r="F227" s="1" t="s">
        <v>56</v>
      </c>
      <c r="G227" s="1" t="s">
        <v>35</v>
      </c>
      <c r="H227" s="1" t="s">
        <v>56</v>
      </c>
      <c r="I227" s="1" t="s">
        <v>314</v>
      </c>
      <c r="J227" s="1" t="s">
        <v>314</v>
      </c>
      <c r="K227" s="1">
        <f>IF(B227=B226,K226,K226+1)</f>
        <v>51</v>
      </c>
      <c r="L227" s="1"/>
      <c r="M227" s="1"/>
      <c r="N227" s="1"/>
      <c r="O227" s="1"/>
      <c r="P227" s="1"/>
      <c r="R227" s="1"/>
      <c r="S227" s="1"/>
    </row>
    <row r="228">
      <c r="A228" s="1" t="s">
        <v>10</v>
      </c>
      <c r="B228" s="1" t="str">
        <f>E228</f>
        <v xml:space="preserve">Investment Income - Linear Adjustments</v>
      </c>
      <c r="C228" s="1" t="str">
        <f>F228</f>
        <v xml:space="preserve">Investment Income - Linear Adjustments</v>
      </c>
      <c r="D228" s="12" t="s">
        <v>315</v>
      </c>
      <c r="E228" s="1" t="s">
        <v>316</v>
      </c>
      <c r="F228" s="1" t="s">
        <v>316</v>
      </c>
      <c r="G228" s="1" t="s">
        <v>316</v>
      </c>
      <c r="H228" s="1" t="s">
        <v>316</v>
      </c>
      <c r="I228" s="1" t="s">
        <v>317</v>
      </c>
      <c r="J228" s="1" t="s">
        <v>317</v>
      </c>
      <c r="K228" s="1">
        <f>IF(B228=B227,K227,K227+1)</f>
        <v>52</v>
      </c>
      <c r="L228" s="1"/>
      <c r="M228" s="1"/>
      <c r="N228" s="1"/>
      <c r="O228" s="1"/>
      <c r="P228" s="1"/>
      <c r="R228" s="1"/>
      <c r="S228" s="1"/>
    </row>
    <row r="229">
      <c r="A229" s="1" t="s">
        <v>10</v>
      </c>
      <c r="B229" s="1" t="str">
        <f>E229</f>
        <v xml:space="preserve">Investment Income - Linear Adjustments</v>
      </c>
      <c r="C229" s="1" t="str">
        <f>F229</f>
        <v xml:space="preserve">Investment Income - Linear Adjustments</v>
      </c>
      <c r="D229" s="13" t="s">
        <v>318</v>
      </c>
      <c r="E229" s="1" t="s">
        <v>316</v>
      </c>
      <c r="F229" s="1" t="s">
        <v>316</v>
      </c>
      <c r="G229" s="1" t="s">
        <v>316</v>
      </c>
      <c r="H229" s="1" t="s">
        <v>316</v>
      </c>
      <c r="I229" s="1" t="s">
        <v>317</v>
      </c>
      <c r="J229" s="1" t="s">
        <v>317</v>
      </c>
      <c r="K229" s="1">
        <f>IF(B229=B228,K228,K228+1)</f>
        <v>52</v>
      </c>
      <c r="L229" s="1"/>
      <c r="M229" s="1"/>
      <c r="N229" s="1"/>
      <c r="O229" s="1"/>
      <c r="P229" s="1"/>
      <c r="R229" s="1"/>
      <c r="S229" s="1"/>
    </row>
    <row r="230">
      <c r="A230" s="1" t="s">
        <v>10</v>
      </c>
      <c r="B230" s="1" t="str">
        <f>E230</f>
        <v xml:space="preserve">Investment Income - Linear Adjustments</v>
      </c>
      <c r="C230" s="1" t="str">
        <f>F230</f>
        <v xml:space="preserve">Investment Income - Linear Adjustments</v>
      </c>
      <c r="D230" s="14" t="s">
        <v>319</v>
      </c>
      <c r="E230" s="1" t="s">
        <v>316</v>
      </c>
      <c r="F230" s="1" t="s">
        <v>316</v>
      </c>
      <c r="G230" s="1" t="s">
        <v>316</v>
      </c>
      <c r="H230" s="1" t="s">
        <v>316</v>
      </c>
      <c r="I230" s="1" t="s">
        <v>317</v>
      </c>
      <c r="J230" s="1" t="s">
        <v>317</v>
      </c>
      <c r="K230" s="1">
        <f>IF(B230=B229,K229,K229+1)</f>
        <v>52</v>
      </c>
      <c r="L230" s="1"/>
      <c r="M230" s="1"/>
      <c r="N230" s="1"/>
      <c r="O230" s="1"/>
      <c r="P230" s="1"/>
      <c r="R230" s="1"/>
      <c r="S230" s="1"/>
    </row>
    <row r="231">
      <c r="A231" s="1" t="s">
        <v>10</v>
      </c>
      <c r="B231" s="1" t="str">
        <f>E231</f>
        <v xml:space="preserve">Investment Income - Linear Adjustments</v>
      </c>
      <c r="C231" s="1" t="str">
        <f>F231</f>
        <v xml:space="preserve">Investment Income - Linear Adjustments</v>
      </c>
      <c r="D231" s="14" t="s">
        <v>320</v>
      </c>
      <c r="E231" s="1" t="s">
        <v>316</v>
      </c>
      <c r="F231" s="1" t="s">
        <v>316</v>
      </c>
      <c r="G231" s="1" t="s">
        <v>316</v>
      </c>
      <c r="H231" s="1" t="s">
        <v>316</v>
      </c>
      <c r="I231" s="1" t="s">
        <v>317</v>
      </c>
      <c r="J231" s="1" t="s">
        <v>317</v>
      </c>
      <c r="K231" s="1">
        <f>IF(B231=B230,K230,K230+1)</f>
        <v>52</v>
      </c>
      <c r="L231" s="1"/>
      <c r="M231" s="1"/>
      <c r="N231" s="1"/>
      <c r="O231" s="1"/>
      <c r="P231" s="1"/>
      <c r="R231" s="1"/>
      <c r="S231" s="1"/>
    </row>
    <row r="232">
      <c r="A232" s="1" t="s">
        <v>10</v>
      </c>
      <c r="B232" s="1" t="str">
        <f>E232</f>
        <v xml:space="preserve">Investment Income - Linear Adjustments</v>
      </c>
      <c r="C232" s="1" t="str">
        <f>F232</f>
        <v xml:space="preserve">Investment Income - Linear Adjustments</v>
      </c>
      <c r="D232" s="14" t="s">
        <v>321</v>
      </c>
      <c r="E232" s="1" t="s">
        <v>316</v>
      </c>
      <c r="F232" s="1" t="s">
        <v>316</v>
      </c>
      <c r="G232" s="1" t="s">
        <v>316</v>
      </c>
      <c r="H232" s="1" t="s">
        <v>316</v>
      </c>
      <c r="I232" s="1" t="s">
        <v>317</v>
      </c>
      <c r="J232" s="1" t="s">
        <v>317</v>
      </c>
      <c r="K232" s="1">
        <f>IF(B232=B231,K231,K231+1)</f>
        <v>52</v>
      </c>
      <c r="L232" s="1"/>
      <c r="M232" s="1"/>
      <c r="N232" s="1"/>
      <c r="O232" s="1"/>
      <c r="P232" s="1"/>
      <c r="R232" s="1"/>
      <c r="S232" s="1"/>
    </row>
    <row r="233">
      <c r="A233" s="1" t="s">
        <v>10</v>
      </c>
      <c r="B233" s="1" t="str">
        <f>E233</f>
        <v xml:space="preserve">Investment Income - Linear Adjustments</v>
      </c>
      <c r="C233" s="1" t="str">
        <f>F233</f>
        <v xml:space="preserve">Investment Income - Linear Adjustments</v>
      </c>
      <c r="D233" s="14" t="s">
        <v>322</v>
      </c>
      <c r="E233" s="1" t="s">
        <v>316</v>
      </c>
      <c r="F233" s="1" t="s">
        <v>316</v>
      </c>
      <c r="G233" s="1" t="s">
        <v>316</v>
      </c>
      <c r="H233" s="1" t="s">
        <v>316</v>
      </c>
      <c r="I233" s="1" t="s">
        <v>317</v>
      </c>
      <c r="J233" s="1" t="s">
        <v>317</v>
      </c>
      <c r="K233" s="1">
        <f>IF(B233=B232,K232,K232+1)</f>
        <v>52</v>
      </c>
      <c r="L233" s="1"/>
      <c r="M233" s="1"/>
      <c r="N233" s="1"/>
      <c r="O233" s="1"/>
      <c r="P233" s="1"/>
      <c r="R233" s="1"/>
      <c r="S233" s="1"/>
    </row>
    <row r="234">
      <c r="A234" s="1" t="s">
        <v>10</v>
      </c>
      <c r="B234" s="1" t="str">
        <f>E234</f>
        <v xml:space="preserve">Investment Income - Linear Adjustments</v>
      </c>
      <c r="C234" s="1" t="str">
        <f>F234</f>
        <v xml:space="preserve">Investment Income - Linear Adjustments</v>
      </c>
      <c r="D234" s="14" t="s">
        <v>323</v>
      </c>
      <c r="E234" s="1" t="s">
        <v>316</v>
      </c>
      <c r="F234" s="1" t="s">
        <v>316</v>
      </c>
      <c r="G234" s="1" t="s">
        <v>316</v>
      </c>
      <c r="H234" s="1" t="s">
        <v>316</v>
      </c>
      <c r="I234" s="1" t="s">
        <v>317</v>
      </c>
      <c r="J234" s="1" t="s">
        <v>317</v>
      </c>
      <c r="K234" s="1">
        <f>IF(B234=B233,K233,K233+1)</f>
        <v>52</v>
      </c>
      <c r="L234" s="1"/>
      <c r="M234" s="1"/>
      <c r="N234" s="1"/>
      <c r="O234" s="1"/>
      <c r="P234" s="1"/>
      <c r="R234" s="1"/>
      <c r="S234" s="1"/>
    </row>
    <row r="235">
      <c r="A235" s="1" t="s">
        <v>10</v>
      </c>
      <c r="B235" s="1" t="str">
        <f>E235</f>
        <v xml:space="preserve">Investment Income - Linear Adjustments</v>
      </c>
      <c r="C235" s="1" t="str">
        <f>F235</f>
        <v xml:space="preserve">Investment Income - Linear Adjustments</v>
      </c>
      <c r="D235" s="14" t="s">
        <v>324</v>
      </c>
      <c r="E235" s="1" t="s">
        <v>316</v>
      </c>
      <c r="F235" s="1" t="s">
        <v>316</v>
      </c>
      <c r="G235" s="1" t="s">
        <v>316</v>
      </c>
      <c r="H235" s="1" t="s">
        <v>316</v>
      </c>
      <c r="I235" s="1" t="s">
        <v>317</v>
      </c>
      <c r="J235" s="1" t="s">
        <v>317</v>
      </c>
      <c r="K235" s="1">
        <f>IF(B235=B234,K234,K234+1)</f>
        <v>52</v>
      </c>
      <c r="L235" s="1"/>
      <c r="M235" s="1"/>
      <c r="N235" s="1"/>
      <c r="O235" s="1"/>
      <c r="P235" s="1"/>
      <c r="R235" s="1"/>
      <c r="S235" s="1"/>
    </row>
    <row r="236" ht="12.75"/>
    <row r="237" ht="12.75"/>
    <row r="238" ht="12.75"/>
  </sheetData>
  <autoFilter ref="A1:K238"/>
  <printOptions headings="1" gridLines="0"/>
  <pageMargins left="0.5" right="0.5" top="0.5" bottom="0.5" header="0" footer="0"/>
  <pageSetup paperSize="9" scale="40" fitToWidth="1" fitToHeight="0" pageOrder="downThenOver" orientation="landscape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CB00AA-00B6-45E3-B7A4-00A600FD004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A2:D10004 K2:K235 K236:K10004 K236:K10004 D2:D235 D2:D235 I2:J10004</xm:sqref>
        </x14:conditionalFormatting>
        <x14:conditionalFormatting xmlns:xm="http://schemas.microsoft.com/office/excel/2006/main">
          <x14:cfRule type="expression" priority="1" id="{00380091-00A1-47AF-A353-008F00C0001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A201 D201 I201:J201</xm:sqref>
        </x14:conditionalFormatting>
        <x14:conditionalFormatting xmlns:xm="http://schemas.microsoft.com/office/excel/2006/main">
          <x14:cfRule type="expression" priority="1" id="{000A00E4-0006-4601-BC92-007E00FA000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A202 D202 I202:J202</xm:sqref>
        </x14:conditionalFormatting>
        <x14:conditionalFormatting xmlns:xm="http://schemas.microsoft.com/office/excel/2006/main">
          <x14:cfRule type="expression" priority="1" id="{00AB001F-001B-4766-8543-00C0009700A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D28</xm:sqref>
        </x14:conditionalFormatting>
        <x14:conditionalFormatting xmlns:xm="http://schemas.microsoft.com/office/excel/2006/main">
          <x14:cfRule type="expression" priority="1" id="{009400C7-00D5-4C7C-8D8B-002A00C6001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D100</xm:sqref>
        </x14:conditionalFormatting>
        <x14:conditionalFormatting xmlns:xm="http://schemas.microsoft.com/office/excel/2006/main">
          <x14:cfRule type="expression" priority="1" id="{00FC007D-00A7-4FF7-94EB-00150056009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D146</xm:sqref>
        </x14:conditionalFormatting>
        <x14:conditionalFormatting xmlns:xm="http://schemas.microsoft.com/office/excel/2006/main">
          <x14:cfRule type="expression" priority="1" id="{00A400AD-000B-4802-974B-002600FC00A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D25</xm:sqref>
        </x14:conditionalFormatting>
        <x14:conditionalFormatting xmlns:xm="http://schemas.microsoft.com/office/excel/2006/main">
          <x14:cfRule type="expression" priority="1" id="{00A000B4-0091-4B88-89CC-0072006D00A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D228</xm:sqref>
        </x14:conditionalFormatting>
        <x14:conditionalFormatting xmlns:xm="http://schemas.microsoft.com/office/excel/2006/main">
          <x14:cfRule type="expression" priority="1" id="{00490067-0063-4FB3-95CA-009C00DE005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D229</xm:sqref>
        </x14:conditionalFormatting>
        <x14:conditionalFormatting xmlns:xm="http://schemas.microsoft.com/office/excel/2006/main">
          <x14:cfRule type="expression" priority="1" id="{00C500AD-000B-4F24-BCB9-008E007D00B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D15</xm:sqref>
        </x14:conditionalFormatting>
        <x14:conditionalFormatting xmlns:xm="http://schemas.microsoft.com/office/excel/2006/main">
          <x14:cfRule type="expression" priority="1" id="{008100AE-0015-46DF-B126-006800D4000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D87</xm:sqref>
        </x14:conditionalFormatting>
        <x14:conditionalFormatting xmlns:xm="http://schemas.microsoft.com/office/excel/2006/main">
          <x14:cfRule type="expression" priority="1" id="{000900AB-003D-4EB2-AA34-00890020008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L161</xm:sqref>
        </x14:conditionalFormatting>
        <x14:conditionalFormatting xmlns:xm="http://schemas.microsoft.com/office/excel/2006/main">
          <x14:cfRule type="expression" priority="1" id="{00640018-0044-45AB-A659-00DD0047001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L202</xm:sqref>
        </x14:conditionalFormatting>
        <x14:conditionalFormatting xmlns:xm="http://schemas.microsoft.com/office/excel/2006/main">
          <x14:cfRule type="expression" priority="1" id="{00B900AB-00C3-4DB2-A52D-001500A600C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L205</xm:sqref>
        </x14:conditionalFormatting>
        <x14:conditionalFormatting xmlns:xm="http://schemas.microsoft.com/office/excel/2006/main">
          <x14:cfRule type="expression" priority="1" id="{00AB00F7-0072-4829-8F08-00C30013009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L207</xm:sqref>
        </x14:conditionalFormatting>
        <x14:conditionalFormatting xmlns:xm="http://schemas.microsoft.com/office/excel/2006/main">
          <x14:cfRule type="expression" priority="1" id="{00DA004E-0061-41BE-8355-00B60080009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L45</xm:sqref>
        </x14:conditionalFormatting>
        <x14:conditionalFormatting xmlns:xm="http://schemas.microsoft.com/office/excel/2006/main">
          <x14:cfRule type="expression" priority="1" id="{003100B8-00C2-446F-914D-00A9002B00A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L25</xm:sqref>
        </x14:conditionalFormatting>
        <x14:conditionalFormatting xmlns:xm="http://schemas.microsoft.com/office/excel/2006/main">
          <x14:cfRule type="expression" priority="1" id="{002700D4-00C1-4490-9011-001600CD006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L20:L35 L37:L42 L44:L47 L49:L58 L60:L63 L65 L68:L70 L74:L78 L114:L116 L129:L136 L150:L155 L196:L200 L223:L226</xm:sqref>
        </x14:conditionalFormatting>
        <x14:conditionalFormatting xmlns:xm="http://schemas.microsoft.com/office/excel/2006/main">
          <x14:cfRule type="expression" priority="1" id="{009C00A9-0094-4E09-954F-009D009700D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L30</xm:sqref>
        </x14:conditionalFormatting>
        <x14:conditionalFormatting xmlns:xm="http://schemas.microsoft.com/office/excel/2006/main">
          <x14:cfRule type="expression" priority="1" id="{006900AD-002E-4BC0-982D-00E0005F001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L146</xm:sqref>
        </x14:conditionalFormatting>
        <x14:conditionalFormatting xmlns:xm="http://schemas.microsoft.com/office/excel/2006/main">
          <x14:cfRule type="expression" priority="1" id="{008100FA-0074-4018-B88D-00BC0056005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L228</xm:sqref>
        </x14:conditionalFormatting>
        <x14:conditionalFormatting xmlns:xm="http://schemas.microsoft.com/office/excel/2006/main">
          <x14:cfRule type="expression" priority="1" id="{00A700FA-006F-4CD2-817A-009B0010004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L43</xm:sqref>
        </x14:conditionalFormatting>
        <x14:conditionalFormatting xmlns:xm="http://schemas.microsoft.com/office/excel/2006/main">
          <x14:cfRule type="expression" priority="1" id="{004100AC-004E-4C2C-AF3A-00A50097000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L54</xm:sqref>
        </x14:conditionalFormatting>
        <x14:conditionalFormatting xmlns:xm="http://schemas.microsoft.com/office/excel/2006/main">
          <x14:cfRule type="expression" priority="1" id="{001500D7-00C1-43BB-AED7-0014008D00A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L65</xm:sqref>
        </x14:conditionalFormatting>
        <x14:conditionalFormatting xmlns:xm="http://schemas.microsoft.com/office/excel/2006/main">
          <x14:cfRule type="expression" priority="1" id="{004A00B1-00D8-4008-A880-00DE0094001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L58</xm:sqref>
        </x14:conditionalFormatting>
        <x14:conditionalFormatting xmlns:xm="http://schemas.microsoft.com/office/excel/2006/main">
          <x14:cfRule type="expression" priority="1" id="{00C30061-0017-4EBC-B00B-001D004C00E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L72</xm:sqref>
        </x14:conditionalFormatting>
        <x14:conditionalFormatting xmlns:xm="http://schemas.microsoft.com/office/excel/2006/main">
          <x14:cfRule type="expression" priority="1" id="{0003001B-0080-4355-AC82-00D3000600A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J227</xm:sqref>
        </x14:conditionalFormatting>
        <x14:conditionalFormatting xmlns:xm="http://schemas.microsoft.com/office/excel/2006/main">
          <x14:cfRule type="expression" priority="1" id="{000800DD-0049-4EF0-8758-0071002F000D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I227</xm:sqref>
        </x14:conditionalFormatting>
        <x14:conditionalFormatting xmlns:xm="http://schemas.microsoft.com/office/excel/2006/main">
          <x14:cfRule type="expression" priority="1" id="{007C0030-00E9-4593-A3D6-003800BB00DD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A105 I105:J105</xm:sqref>
        </x14:conditionalFormatting>
        <x14:conditionalFormatting xmlns:xm="http://schemas.microsoft.com/office/excel/2006/main">
          <x14:cfRule type="expression" priority="1" id="{001200B4-0098-4A64-ADB1-0036004D003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G2:H13 G14 G15:H35 G36 G37:H235</xm:sqref>
        </x14:conditionalFormatting>
        <x14:conditionalFormatting xmlns:xm="http://schemas.microsoft.com/office/excel/2006/main">
          <x14:cfRule type="expression" priority="1" id="{001500F6-0008-4D08-B2F8-00ED0088009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G15</xm:sqref>
        </x14:conditionalFormatting>
        <x14:conditionalFormatting xmlns:xm="http://schemas.microsoft.com/office/excel/2006/main">
          <x14:cfRule type="expression" priority="1" id="{008E0030-00BB-43B1-ADC4-00DD0068003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G27</xm:sqref>
        </x14:conditionalFormatting>
        <x14:conditionalFormatting xmlns:xm="http://schemas.microsoft.com/office/excel/2006/main">
          <x14:cfRule type="expression" priority="1" id="{00870086-00A3-4551-8FE3-00730068007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G22</xm:sqref>
        </x14:conditionalFormatting>
        <x14:conditionalFormatting xmlns:xm="http://schemas.microsoft.com/office/excel/2006/main">
          <x14:cfRule type="expression" priority="1" id="{00F30067-002D-4554-9352-007800BC00F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G25</xm:sqref>
        </x14:conditionalFormatting>
        <x14:conditionalFormatting xmlns:xm="http://schemas.microsoft.com/office/excel/2006/main">
          <x14:cfRule type="expression" priority="1" id="{009400D2-00DD-4F5C-93B9-00E6005400B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G26</xm:sqref>
        </x14:conditionalFormatting>
        <x14:conditionalFormatting xmlns:xm="http://schemas.microsoft.com/office/excel/2006/main">
          <x14:cfRule type="expression" priority="1" id="{00E10084-00ED-466A-82D1-00BD00AF004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G28</xm:sqref>
        </x14:conditionalFormatting>
        <x14:conditionalFormatting xmlns:xm="http://schemas.microsoft.com/office/excel/2006/main">
          <x14:cfRule type="expression" priority="1" id="{008B002E-0071-459B-9FEF-00EB00F7005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G28</xm:sqref>
        </x14:conditionalFormatting>
        <x14:conditionalFormatting xmlns:xm="http://schemas.microsoft.com/office/excel/2006/main">
          <x14:cfRule type="expression" priority="1" id="{00890075-0047-45D4-8B81-00E000A7002D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G29</xm:sqref>
        </x14:conditionalFormatting>
        <x14:conditionalFormatting xmlns:xm="http://schemas.microsoft.com/office/excel/2006/main">
          <x14:cfRule type="expression" priority="1" id="{007D008C-0018-4D38-8887-0046005B009B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H20:H35 H37:H42 H44:H47 H49:H58 H60:H63 H65 H68:H70 H74:H78 H114:H116 H129:H136 H150:H155 H196:H200 H223:H226</xm:sqref>
        </x14:conditionalFormatting>
        <x14:conditionalFormatting xmlns:xm="http://schemas.microsoft.com/office/excel/2006/main">
          <x14:cfRule type="expression" priority="1" id="{008C0013-00F7-4036-A526-0073004900C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H23</xm:sqref>
        </x14:conditionalFormatting>
        <x14:conditionalFormatting xmlns:xm="http://schemas.microsoft.com/office/excel/2006/main">
          <x14:cfRule type="expression" priority="1" id="{009C0015-0062-456F-8541-003400FE00E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H25</xm:sqref>
        </x14:conditionalFormatting>
        <x14:conditionalFormatting xmlns:xm="http://schemas.microsoft.com/office/excel/2006/main">
          <x14:cfRule type="expression" priority="1" id="{00D70066-0093-433C-A21F-001E00F5000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H28</xm:sqref>
        </x14:conditionalFormatting>
        <x14:conditionalFormatting xmlns:xm="http://schemas.microsoft.com/office/excel/2006/main">
          <x14:cfRule type="expression" priority="1" id="{008C00A5-005B-40C4-8E6E-00CF00AC00E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H29</xm:sqref>
        </x14:conditionalFormatting>
        <x14:conditionalFormatting xmlns:xm="http://schemas.microsoft.com/office/excel/2006/main">
          <x14:cfRule type="expression" priority="1" id="{00FF0067-00D1-4210-BAF3-00BE001800A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G26</xm:sqref>
        </x14:conditionalFormatting>
        <x14:conditionalFormatting xmlns:xm="http://schemas.microsoft.com/office/excel/2006/main">
          <x14:cfRule type="expression" priority="1" id="{000700DA-009E-48FD-AA7B-0089009B00C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G26</xm:sqref>
        </x14:conditionalFormatting>
        <x14:conditionalFormatting xmlns:xm="http://schemas.microsoft.com/office/excel/2006/main">
          <x14:cfRule type="expression" priority="1" id="{007B00A8-004B-438C-A7D9-00E400F9009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G26</xm:sqref>
        </x14:conditionalFormatting>
        <x14:conditionalFormatting xmlns:xm="http://schemas.microsoft.com/office/excel/2006/main">
          <x14:cfRule type="expression" priority="1" id="{00760048-0048-4FD2-8235-00A3007700F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G25</xm:sqref>
        </x14:conditionalFormatting>
        <x14:conditionalFormatting xmlns:xm="http://schemas.microsoft.com/office/excel/2006/main">
          <x14:cfRule type="expression" priority="1" id="{00A6006F-00B7-4ED7-8E39-00500006006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G25</xm:sqref>
        </x14:conditionalFormatting>
        <x14:conditionalFormatting xmlns:xm="http://schemas.microsoft.com/office/excel/2006/main">
          <x14:cfRule type="expression" priority="1" id="{002B0057-00BE-4697-9D15-00E400F8005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G25</xm:sqref>
        </x14:conditionalFormatting>
        <x14:conditionalFormatting xmlns:xm="http://schemas.microsoft.com/office/excel/2006/main">
          <x14:cfRule type="expression" priority="1" id="{007E00BF-00A3-4886-91A3-00FB003B00B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G24</xm:sqref>
        </x14:conditionalFormatting>
        <x14:conditionalFormatting xmlns:xm="http://schemas.microsoft.com/office/excel/2006/main">
          <x14:cfRule type="expression" priority="1" id="{000B0062-0082-4DAA-9654-003A0062001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G24</xm:sqref>
        </x14:conditionalFormatting>
        <x14:conditionalFormatting xmlns:xm="http://schemas.microsoft.com/office/excel/2006/main">
          <x14:cfRule type="expression" priority="1" id="{00BD0005-00EB-4A6A-A0C5-007B00B3008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G24</xm:sqref>
        </x14:conditionalFormatting>
        <x14:conditionalFormatting xmlns:xm="http://schemas.microsoft.com/office/excel/2006/main">
          <x14:cfRule type="expression" priority="1" id="{005F00A5-0064-44A7-B6AA-000D00E900E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G12</xm:sqref>
        </x14:conditionalFormatting>
        <x14:conditionalFormatting xmlns:xm="http://schemas.microsoft.com/office/excel/2006/main">
          <x14:cfRule type="expression" priority="1" id="{005F00A4-0062-4844-9BF9-00A300A1009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G14</xm:sqref>
        </x14:conditionalFormatting>
        <x14:conditionalFormatting xmlns:xm="http://schemas.microsoft.com/office/excel/2006/main">
          <x14:cfRule type="expression" priority="1" id="{00E8007A-00AE-4360-9F10-004B00DE00C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G16</xm:sqref>
        </x14:conditionalFormatting>
        <x14:conditionalFormatting xmlns:xm="http://schemas.microsoft.com/office/excel/2006/main">
          <x14:cfRule type="expression" priority="1" id="{00C40088-004C-44E1-85FE-004700F6006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G20</xm:sqref>
        </x14:conditionalFormatting>
        <x14:conditionalFormatting xmlns:xm="http://schemas.microsoft.com/office/excel/2006/main">
          <x14:cfRule type="expression" priority="1" id="{0099003B-00E4-4EF9-BC44-003F0095003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G21</xm:sqref>
        </x14:conditionalFormatting>
        <x14:conditionalFormatting xmlns:xm="http://schemas.microsoft.com/office/excel/2006/main">
          <x14:cfRule type="expression" priority="1" id="{00060029-0063-4841-98D4-00BF00DE008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G22</xm:sqref>
        </x14:conditionalFormatting>
        <x14:conditionalFormatting xmlns:xm="http://schemas.microsoft.com/office/excel/2006/main">
          <x14:cfRule type="expression" priority="1" id="{00830089-00F0-4022-8848-00750074004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G23</xm:sqref>
        </x14:conditionalFormatting>
        <x14:conditionalFormatting xmlns:xm="http://schemas.microsoft.com/office/excel/2006/main">
          <x14:cfRule type="expression" priority="1" id="{0051008B-00D7-4F1C-8F21-004F00D000E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H2:H13 H15:H19</xm:sqref>
        </x14:conditionalFormatting>
        <x14:conditionalFormatting xmlns:xm="http://schemas.microsoft.com/office/excel/2006/main">
          <x14:cfRule type="expression" priority="1" id="{003400FF-0069-4DAF-A775-002D00CA006D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H30</xm:sqref>
        </x14:conditionalFormatting>
        <x14:conditionalFormatting xmlns:xm="http://schemas.microsoft.com/office/excel/2006/main">
          <x14:cfRule type="expression" priority="1" id="{0062008E-0027-4E21-B7F1-00FE00BE004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H30</xm:sqref>
        </x14:conditionalFormatting>
        <x14:conditionalFormatting xmlns:xm="http://schemas.microsoft.com/office/excel/2006/main">
          <x14:cfRule type="expression" priority="1" id="{00DA0042-008C-4FF4-A848-00030004009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G74</xm:sqref>
        </x14:conditionalFormatting>
        <x14:conditionalFormatting xmlns:xm="http://schemas.microsoft.com/office/excel/2006/main">
          <x14:cfRule type="expression" priority="1" id="{00D500C9-002C-4468-882C-00A10091005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G114</xm:sqref>
        </x14:conditionalFormatting>
        <x14:conditionalFormatting xmlns:xm="http://schemas.microsoft.com/office/excel/2006/main">
          <x14:cfRule type="expression" priority="1" id="{00A700DA-003B-4760-BDAB-003C00F700F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G129</xm:sqref>
        </x14:conditionalFormatting>
        <x14:conditionalFormatting xmlns:xm="http://schemas.microsoft.com/office/excel/2006/main">
          <x14:cfRule type="expression" priority="1" id="{009C007E-00BE-4600-A56C-003000D900F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G150</xm:sqref>
        </x14:conditionalFormatting>
        <x14:conditionalFormatting xmlns:xm="http://schemas.microsoft.com/office/excel/2006/main">
          <x14:cfRule type="expression" priority="1" id="{006A0090-009D-4B0E-81CB-005B008100C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G196</xm:sqref>
        </x14:conditionalFormatting>
        <x14:conditionalFormatting xmlns:xm="http://schemas.microsoft.com/office/excel/2006/main">
          <x14:cfRule type="expression" priority="1" id="{0055006C-00AC-4C5E-8683-00E30031002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G216</xm:sqref>
        </x14:conditionalFormatting>
        <x14:conditionalFormatting xmlns:xm="http://schemas.microsoft.com/office/excel/2006/main">
          <x14:cfRule type="expression" priority="1" id="{00DD00AB-00D5-40E3-8DD0-00FB00A800A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G223</xm:sqref>
        </x14:conditionalFormatting>
        <x14:conditionalFormatting xmlns:xm="http://schemas.microsoft.com/office/excel/2006/main">
          <x14:cfRule type="expression" priority="1" id="{005C004B-0077-4699-AA14-00F900DB00A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H79:H102 H104:H113</xm:sqref>
        </x14:conditionalFormatting>
        <x14:conditionalFormatting xmlns:xm="http://schemas.microsoft.com/office/excel/2006/main">
          <x14:cfRule type="expression" priority="1" id="{00710071-00A3-4943-9A47-001200A600F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H117</xm:sqref>
        </x14:conditionalFormatting>
        <x14:conditionalFormatting xmlns:xm="http://schemas.microsoft.com/office/excel/2006/main">
          <x14:cfRule type="expression" priority="1" id="{00A40087-0074-4800-BC0C-0008005400D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H137</xm:sqref>
        </x14:conditionalFormatting>
        <x14:conditionalFormatting xmlns:xm="http://schemas.microsoft.com/office/excel/2006/main">
          <x14:cfRule type="expression" priority="1" id="{000600DD-0052-4D58-8A4F-00A70082001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H142</xm:sqref>
        </x14:conditionalFormatting>
        <x14:conditionalFormatting xmlns:xm="http://schemas.microsoft.com/office/excel/2006/main">
          <x14:cfRule type="expression" priority="1" id="{00450023-0001-484D-9928-00B500D6002D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H146</xm:sqref>
        </x14:conditionalFormatting>
        <x14:conditionalFormatting xmlns:xm="http://schemas.microsoft.com/office/excel/2006/main">
          <x14:cfRule type="expression" priority="1" id="{00AD005C-00BD-4BD8-8EB7-004C003500A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G156</xm:sqref>
        </x14:conditionalFormatting>
        <x14:conditionalFormatting xmlns:xm="http://schemas.microsoft.com/office/excel/2006/main">
          <x14:cfRule type="expression" priority="1" id="{00F400B5-0067-42D8-A0ED-00DF0064001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G156</xm:sqref>
        </x14:conditionalFormatting>
        <x14:conditionalFormatting xmlns:xm="http://schemas.microsoft.com/office/excel/2006/main">
          <x14:cfRule type="expression" priority="1" id="{00DD0048-00D1-42AF-8781-00F4005D00E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H184:H192</xm:sqref>
        </x14:conditionalFormatting>
        <x14:conditionalFormatting xmlns:xm="http://schemas.microsoft.com/office/excel/2006/main">
          <x14:cfRule type="expression" priority="1" id="{00A60039-00C7-45FE-B17A-00A400FD00A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H193:H195</xm:sqref>
        </x14:conditionalFormatting>
        <x14:conditionalFormatting xmlns:xm="http://schemas.microsoft.com/office/excel/2006/main">
          <x14:cfRule type="expression" priority="1" id="{00530082-00ED-4042-A2CE-0091008500F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H201</xm:sqref>
        </x14:conditionalFormatting>
        <x14:conditionalFormatting xmlns:xm="http://schemas.microsoft.com/office/excel/2006/main">
          <x14:cfRule type="expression" priority="1" id="{00B2001F-001A-4CC8-BFA6-00650061005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H201</xm:sqref>
        </x14:conditionalFormatting>
        <x14:conditionalFormatting xmlns:xm="http://schemas.microsoft.com/office/excel/2006/main">
          <x14:cfRule type="expression" priority="1" id="{008B0004-003B-45E4-8FCA-00F30013007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H217</xm:sqref>
        </x14:conditionalFormatting>
        <x14:conditionalFormatting xmlns:xm="http://schemas.microsoft.com/office/excel/2006/main">
          <x14:cfRule type="expression" priority="1" id="{006B00DD-00B8-436F-A415-007F00A8003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H228</xm:sqref>
        </x14:conditionalFormatting>
        <x14:conditionalFormatting xmlns:xm="http://schemas.microsoft.com/office/excel/2006/main">
          <x14:cfRule type="expression" priority="1" id="{00AE00D4-00C2-4F5C-9489-0040006E003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H235</xm:sqref>
        </x14:conditionalFormatting>
        <x14:conditionalFormatting xmlns:xm="http://schemas.microsoft.com/office/excel/2006/main">
          <x14:cfRule type="expression" priority="1" id="{00CB009E-00F7-4153-A6CB-00D80039002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G79</xm:sqref>
        </x14:conditionalFormatting>
        <x14:conditionalFormatting xmlns:xm="http://schemas.microsoft.com/office/excel/2006/main">
          <x14:cfRule type="expression" priority="1" id="{00060079-00F6-40CD-9E10-00F20092000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G184</xm:sqref>
        </x14:conditionalFormatting>
        <x14:conditionalFormatting xmlns:xm="http://schemas.microsoft.com/office/excel/2006/main">
          <x14:cfRule type="expression" priority="1" id="{00EF0078-001B-45B1-AA42-003E00F8009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G228</xm:sqref>
        </x14:conditionalFormatting>
        <x14:conditionalFormatting xmlns:xm="http://schemas.microsoft.com/office/excel/2006/main">
          <x14:cfRule type="expression" priority="1" id="{009F0094-0043-4D7B-803E-006F00B9008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G228</xm:sqref>
        </x14:conditionalFormatting>
        <x14:conditionalFormatting xmlns:xm="http://schemas.microsoft.com/office/excel/2006/main">
          <x14:cfRule type="expression" priority="1" id="{006E009B-002A-4F64-BD0E-008C006C007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G184</xm:sqref>
        </x14:conditionalFormatting>
        <x14:conditionalFormatting xmlns:xm="http://schemas.microsoft.com/office/excel/2006/main">
          <x14:cfRule type="expression" priority="1" id="{00210090-00D6-4F83-9BBB-005D008D00B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G184</xm:sqref>
        </x14:conditionalFormatting>
        <x14:conditionalFormatting xmlns:xm="http://schemas.microsoft.com/office/excel/2006/main">
          <x14:cfRule type="expression" priority="1" id="{0074006F-00A6-48EA-AE27-002E00CE00C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G201</xm:sqref>
        </x14:conditionalFormatting>
        <x14:conditionalFormatting xmlns:xm="http://schemas.microsoft.com/office/excel/2006/main">
          <x14:cfRule type="expression" priority="1" id="{009E007A-00EE-4C22-84F5-005A00DE005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G201</xm:sqref>
        </x14:conditionalFormatting>
        <x14:conditionalFormatting xmlns:xm="http://schemas.microsoft.com/office/excel/2006/main">
          <x14:cfRule type="expression" priority="1" id="{00ED002D-0009-4731-B021-006E0006005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G217</xm:sqref>
        </x14:conditionalFormatting>
        <x14:conditionalFormatting xmlns:xm="http://schemas.microsoft.com/office/excel/2006/main">
          <x14:cfRule type="expression" priority="1" id="{002F003A-0008-4160-88DD-0077008A009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G217</xm:sqref>
        </x14:conditionalFormatting>
        <x14:conditionalFormatting xmlns:xm="http://schemas.microsoft.com/office/excel/2006/main">
          <x14:cfRule type="expression" priority="1" id="{006E0034-001E-440F-94E8-00AF006800D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G37</xm:sqref>
        </x14:conditionalFormatting>
        <x14:conditionalFormatting xmlns:xm="http://schemas.microsoft.com/office/excel/2006/main">
          <x14:cfRule type="expression" priority="1" id="{00D700BD-00C4-497C-9500-0049008E00FD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G44</xm:sqref>
        </x14:conditionalFormatting>
        <x14:conditionalFormatting xmlns:xm="http://schemas.microsoft.com/office/excel/2006/main">
          <x14:cfRule type="expression" priority="1" id="{00CC00E9-00C2-4F35-9BD9-0095002C00C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G79</xm:sqref>
        </x14:conditionalFormatting>
        <x14:conditionalFormatting xmlns:xm="http://schemas.microsoft.com/office/excel/2006/main">
          <x14:cfRule type="expression" priority="1" id="{003F00DC-0020-4B68-BF8D-00E50060004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G79</xm:sqref>
        </x14:conditionalFormatting>
        <x14:conditionalFormatting xmlns:xm="http://schemas.microsoft.com/office/excel/2006/main">
          <x14:cfRule type="expression" priority="1" id="{00A70006-0034-41AA-B56D-00FF008C008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G117</xm:sqref>
        </x14:conditionalFormatting>
        <x14:conditionalFormatting xmlns:xm="http://schemas.microsoft.com/office/excel/2006/main">
          <x14:cfRule type="expression" priority="1" id="{00DE0016-0084-4F13-B9FD-00C6004F00C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G117</xm:sqref>
        </x14:conditionalFormatting>
        <x14:conditionalFormatting xmlns:xm="http://schemas.microsoft.com/office/excel/2006/main">
          <x14:cfRule type="expression" priority="1" id="{00BA00B1-00C2-406E-9C5C-00D900AB00B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G137</xm:sqref>
        </x14:conditionalFormatting>
        <x14:conditionalFormatting xmlns:xm="http://schemas.microsoft.com/office/excel/2006/main">
          <x14:cfRule type="expression" priority="1" id="{003F00CA-0044-4AB7-9303-00670097002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G137</xm:sqref>
        </x14:conditionalFormatting>
        <x14:conditionalFormatting xmlns:xm="http://schemas.microsoft.com/office/excel/2006/main">
          <x14:cfRule type="expression" priority="1" id="{00C00022-00DD-4AFE-AFD4-00D700CA00D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G193</xm:sqref>
        </x14:conditionalFormatting>
        <x14:conditionalFormatting xmlns:xm="http://schemas.microsoft.com/office/excel/2006/main">
          <x14:cfRule type="expression" priority="1" id="{001C001E-0015-426C-BA0C-00FF00E8002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G193</xm:sqref>
        </x14:conditionalFormatting>
        <x14:conditionalFormatting xmlns:xm="http://schemas.microsoft.com/office/excel/2006/main">
          <x14:cfRule type="expression" priority="1" id="{00DD00E9-00B3-47BA-9D4F-000200F700C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H156</xm:sqref>
        </x14:conditionalFormatting>
        <x14:conditionalFormatting xmlns:xm="http://schemas.microsoft.com/office/excel/2006/main">
          <x14:cfRule type="expression" priority="1" id="{00650041-0033-4095-8DB9-00680051004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H156</xm:sqref>
        </x14:conditionalFormatting>
        <x14:conditionalFormatting xmlns:xm="http://schemas.microsoft.com/office/excel/2006/main">
          <x14:cfRule type="expression" priority="1" id="{002100BB-0001-46F5-AE9D-00DF001800FD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H156</xm:sqref>
        </x14:conditionalFormatting>
        <x14:conditionalFormatting xmlns:xm="http://schemas.microsoft.com/office/excel/2006/main">
          <x14:cfRule type="expression" priority="1" id="{00910073-007F-48D0-A948-006100BB00E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G156</xm:sqref>
        </x14:conditionalFormatting>
        <x14:conditionalFormatting xmlns:xm="http://schemas.microsoft.com/office/excel/2006/main">
          <x14:cfRule type="expression" priority="1" id="{0073000E-00AA-4D28-B0EE-00C00075007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G156</xm:sqref>
        </x14:conditionalFormatting>
        <x14:conditionalFormatting xmlns:xm="http://schemas.microsoft.com/office/excel/2006/main">
          <x14:cfRule type="expression" priority="1" id="{00A600F5-00B5-41A9-8756-0074007600FB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G156</xm:sqref>
        </x14:conditionalFormatting>
        <x14:conditionalFormatting xmlns:xm="http://schemas.microsoft.com/office/excel/2006/main">
          <x14:cfRule type="expression" priority="1" id="{00C000E4-005D-4AD6-BFFA-00A100D400CD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H43</xm:sqref>
        </x14:conditionalFormatting>
        <x14:conditionalFormatting xmlns:xm="http://schemas.microsoft.com/office/excel/2006/main">
          <x14:cfRule type="expression" priority="1" id="{003C007A-0089-41C5-A5C0-00160045001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G26</xm:sqref>
        </x14:conditionalFormatting>
        <x14:conditionalFormatting xmlns:xm="http://schemas.microsoft.com/office/excel/2006/main">
          <x14:cfRule type="expression" priority="1" id="{00DF009A-007B-40E4-8E62-006D003A00F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G26</xm:sqref>
        </x14:conditionalFormatting>
        <x14:conditionalFormatting xmlns:xm="http://schemas.microsoft.com/office/excel/2006/main">
          <x14:cfRule type="expression" priority="1" id="{00910041-0064-40C4-93A0-006F000E00F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G26</xm:sqref>
        </x14:conditionalFormatting>
        <x14:conditionalFormatting xmlns:xm="http://schemas.microsoft.com/office/excel/2006/main">
          <x14:cfRule type="expression" priority="1" id="{005800CF-0038-4840-82DD-005400E3003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G26</xm:sqref>
        </x14:conditionalFormatting>
        <x14:conditionalFormatting xmlns:xm="http://schemas.microsoft.com/office/excel/2006/main">
          <x14:cfRule type="expression" priority="1" id="{006D007E-00BA-436F-BB43-004000E5007D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G43</xm:sqref>
        </x14:conditionalFormatting>
        <x14:conditionalFormatting xmlns:xm="http://schemas.microsoft.com/office/excel/2006/main">
          <x14:cfRule type="expression" priority="1" id="{005800B9-002E-4F66-AB10-009400EB00F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G43</xm:sqref>
        </x14:conditionalFormatting>
        <x14:conditionalFormatting xmlns:xm="http://schemas.microsoft.com/office/excel/2006/main">
          <x14:cfRule type="expression" priority="1" id="{00C60092-0034-438D-AF49-00F30028003D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G43</xm:sqref>
        </x14:conditionalFormatting>
        <x14:conditionalFormatting xmlns:xm="http://schemas.microsoft.com/office/excel/2006/main">
          <x14:cfRule type="expression" priority="1" id="{009C00AF-00A4-4A1E-A812-00D500E6001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G43</xm:sqref>
        </x14:conditionalFormatting>
        <x14:conditionalFormatting xmlns:xm="http://schemas.microsoft.com/office/excel/2006/main">
          <x14:cfRule type="expression" priority="1" id="{009F0066-005D-4CAA-B69E-00DE00F0008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G48</xm:sqref>
        </x14:conditionalFormatting>
        <x14:conditionalFormatting xmlns:xm="http://schemas.microsoft.com/office/excel/2006/main">
          <x14:cfRule type="expression" priority="1" id="{00660007-0032-4E29-9976-007900FA004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G48</xm:sqref>
        </x14:conditionalFormatting>
        <x14:conditionalFormatting xmlns:xm="http://schemas.microsoft.com/office/excel/2006/main">
          <x14:cfRule type="expression" priority="1" id="{004600AD-00F9-452E-83CD-006700FA005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G48</xm:sqref>
        </x14:conditionalFormatting>
        <x14:conditionalFormatting xmlns:xm="http://schemas.microsoft.com/office/excel/2006/main">
          <x14:cfRule type="expression" priority="1" id="{00B0009A-004D-4526-B895-009D008200E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G48</xm:sqref>
        </x14:conditionalFormatting>
        <x14:conditionalFormatting xmlns:xm="http://schemas.microsoft.com/office/excel/2006/main">
          <x14:cfRule type="expression" priority="1" id="{001E0087-000E-4ED6-9973-00A80079003D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G59</xm:sqref>
        </x14:conditionalFormatting>
        <x14:conditionalFormatting xmlns:xm="http://schemas.microsoft.com/office/excel/2006/main">
          <x14:cfRule type="expression" priority="1" id="{008C0098-00D4-4532-AF56-00CD0000000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G59</xm:sqref>
        </x14:conditionalFormatting>
        <x14:conditionalFormatting xmlns:xm="http://schemas.microsoft.com/office/excel/2006/main">
          <x14:cfRule type="expression" priority="1" id="{00D80043-0021-46F8-A284-007400FF00C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G59</xm:sqref>
        </x14:conditionalFormatting>
        <x14:conditionalFormatting xmlns:xm="http://schemas.microsoft.com/office/excel/2006/main">
          <x14:cfRule type="expression" priority="1" id="{006A007A-0071-442D-A413-00D700E000A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G59</xm:sqref>
        </x14:conditionalFormatting>
        <x14:conditionalFormatting xmlns:xm="http://schemas.microsoft.com/office/excel/2006/main">
          <x14:cfRule type="expression" priority="1" id="{003A00DF-00D9-4231-8491-0052002300E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G64</xm:sqref>
        </x14:conditionalFormatting>
        <x14:conditionalFormatting xmlns:xm="http://schemas.microsoft.com/office/excel/2006/main">
          <x14:cfRule type="expression" priority="1" id="{004F0097-0004-4781-92BF-006C00AC00D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G64</xm:sqref>
        </x14:conditionalFormatting>
        <x14:conditionalFormatting xmlns:xm="http://schemas.microsoft.com/office/excel/2006/main">
          <x14:cfRule type="expression" priority="1" id="{00D100D4-008F-4C2D-9317-004C000B000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G64</xm:sqref>
        </x14:conditionalFormatting>
        <x14:conditionalFormatting xmlns:xm="http://schemas.microsoft.com/office/excel/2006/main">
          <x14:cfRule type="expression" priority="1" id="{00070008-0016-4A1D-A885-009B00AB007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G64</xm:sqref>
        </x14:conditionalFormatting>
        <x14:conditionalFormatting xmlns:xm="http://schemas.microsoft.com/office/excel/2006/main">
          <x14:cfRule type="expression" priority="1" id="{000C00A5-00A7-4833-A162-00C8005A003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G66</xm:sqref>
        </x14:conditionalFormatting>
        <x14:conditionalFormatting xmlns:xm="http://schemas.microsoft.com/office/excel/2006/main">
          <x14:cfRule type="expression" priority="1" id="{00190024-00AE-4516-93B0-00170011005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G66</xm:sqref>
        </x14:conditionalFormatting>
        <x14:conditionalFormatting xmlns:xm="http://schemas.microsoft.com/office/excel/2006/main">
          <x14:cfRule type="expression" priority="1" id="{007000B8-00EA-4500-8BC1-0015007000B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G66</xm:sqref>
        </x14:conditionalFormatting>
        <x14:conditionalFormatting xmlns:xm="http://schemas.microsoft.com/office/excel/2006/main">
          <x14:cfRule type="expression" priority="1" id="{00A200BA-0015-4A69-96FE-000D0053009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G66</xm:sqref>
        </x14:conditionalFormatting>
        <x14:conditionalFormatting xmlns:xm="http://schemas.microsoft.com/office/excel/2006/main">
          <x14:cfRule type="expression" priority="1" id="{007C00AE-00B2-4E29-8FBC-000D0082006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H103</xm:sqref>
        </x14:conditionalFormatting>
        <x14:conditionalFormatting xmlns:xm="http://schemas.microsoft.com/office/excel/2006/main">
          <x14:cfRule type="expression" priority="1" id="{002E00F3-0075-4874-9D0B-005100C500C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G52</xm:sqref>
        </x14:conditionalFormatting>
        <x14:conditionalFormatting xmlns:xm="http://schemas.microsoft.com/office/excel/2006/main">
          <x14:cfRule type="expression" priority="1" id="{00880055-00CD-4AF2-AF45-0015000800E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G55</xm:sqref>
        </x14:conditionalFormatting>
        <x14:conditionalFormatting xmlns:xm="http://schemas.microsoft.com/office/excel/2006/main">
          <x14:cfRule type="expression" priority="1" id="{00E8002C-00F4-4078-B7D7-003A0063002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G55</xm:sqref>
        </x14:conditionalFormatting>
        <x14:conditionalFormatting xmlns:xm="http://schemas.microsoft.com/office/excel/2006/main">
          <x14:cfRule type="expression" priority="1" id="{00AF001C-0039-4AEB-8445-008A0039007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G58</xm:sqref>
        </x14:conditionalFormatting>
        <x14:conditionalFormatting xmlns:xm="http://schemas.microsoft.com/office/excel/2006/main">
          <x14:cfRule type="expression" priority="1" id="{00C700A0-007B-4CE2-94BE-0088006D00F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G58</xm:sqref>
        </x14:conditionalFormatting>
        <x14:conditionalFormatting xmlns:xm="http://schemas.microsoft.com/office/excel/2006/main">
          <x14:cfRule type="expression" priority="1" id="{00A300FE-0002-4082-922A-00AD00B5008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G60</xm:sqref>
        </x14:conditionalFormatting>
        <x14:conditionalFormatting xmlns:xm="http://schemas.microsoft.com/office/excel/2006/main">
          <x14:cfRule type="expression" priority="1" id="{00A400C6-0059-422D-8805-002D0039006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G60</xm:sqref>
        </x14:conditionalFormatting>
        <x14:conditionalFormatting xmlns:xm="http://schemas.microsoft.com/office/excel/2006/main">
          <x14:cfRule type="expression" priority="1" id="{0088002D-005F-4589-BB7D-00430050009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G71</xm:sqref>
        </x14:conditionalFormatting>
        <x14:conditionalFormatting xmlns:xm="http://schemas.microsoft.com/office/excel/2006/main">
          <x14:cfRule type="expression" priority="1" id="{00B50076-009B-4C31-BEF9-00FA00B600C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G71</xm:sqref>
        </x14:conditionalFormatting>
        <x14:conditionalFormatting xmlns:xm="http://schemas.microsoft.com/office/excel/2006/main">
          <x14:cfRule type="expression" priority="1" id="{008B0076-002A-4925-B0EC-002C0023005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G71</xm:sqref>
        </x14:conditionalFormatting>
        <x14:conditionalFormatting xmlns:xm="http://schemas.microsoft.com/office/excel/2006/main">
          <x14:cfRule type="expression" priority="1" id="{008F0035-002F-42FC-9C02-006900A3006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G71</xm:sqref>
        </x14:conditionalFormatting>
        <x14:conditionalFormatting xmlns:xm="http://schemas.microsoft.com/office/excel/2006/main">
          <x14:cfRule type="expression" priority="1" id="{00A40091-003B-43D8-B846-000E0078007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G71</xm:sqref>
        </x14:conditionalFormatting>
        <x14:conditionalFormatting xmlns:xm="http://schemas.microsoft.com/office/excel/2006/main">
          <x14:cfRule type="expression" priority="1" id="{007700D8-00C9-4726-8FA9-0053008B00F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G62</xm:sqref>
        </x14:conditionalFormatting>
        <x14:conditionalFormatting xmlns:xm="http://schemas.microsoft.com/office/excel/2006/main">
          <x14:cfRule type="expression" priority="1" id="{0092009C-00C0-4D2F-90B7-004A000400E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G62</xm:sqref>
        </x14:conditionalFormatting>
        <x14:conditionalFormatting xmlns:xm="http://schemas.microsoft.com/office/excel/2006/main">
          <x14:cfRule type="expression" priority="1" id="{00B400EF-0058-4734-97F6-00230005006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G62</xm:sqref>
        </x14:conditionalFormatting>
        <x14:conditionalFormatting xmlns:xm="http://schemas.microsoft.com/office/excel/2006/main">
          <x14:cfRule type="expression" priority="1" id="{002A004D-004E-4838-9A27-00BD00FD00D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G53</xm:sqref>
        </x14:conditionalFormatting>
        <x14:conditionalFormatting xmlns:xm="http://schemas.microsoft.com/office/excel/2006/main">
          <x14:cfRule type="expression" priority="1" id="{00550077-0025-4669-AFC5-004D00A000D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G53</xm:sqref>
        </x14:conditionalFormatting>
        <x14:conditionalFormatting xmlns:xm="http://schemas.microsoft.com/office/excel/2006/main">
          <x14:cfRule type="expression" priority="1" id="{00E400EB-0003-4581-92DE-006700C1002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G53</xm:sqref>
        </x14:conditionalFormatting>
        <x14:conditionalFormatting xmlns:xm="http://schemas.microsoft.com/office/excel/2006/main">
          <x14:cfRule type="expression" priority="1" id="{003800F1-0032-4A67-B6EC-0043000F000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H48</xm:sqref>
        </x14:conditionalFormatting>
        <x14:conditionalFormatting xmlns:xm="http://schemas.microsoft.com/office/excel/2006/main">
          <x14:cfRule type="expression" priority="1" id="{00D60092-002F-4EFC-8077-00E100AE002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H48</xm:sqref>
        </x14:conditionalFormatting>
        <x14:conditionalFormatting xmlns:xm="http://schemas.microsoft.com/office/excel/2006/main">
          <x14:cfRule type="expression" priority="1" id="{002E008E-004D-4104-98E6-00D600DF00C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H48</xm:sqref>
        </x14:conditionalFormatting>
        <x14:conditionalFormatting xmlns:xm="http://schemas.microsoft.com/office/excel/2006/main">
          <x14:cfRule type="expression" priority="1" id="{00020073-0073-44F9-8C6E-008700F5000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expression" priority="1" id="{00180022-0031-41E9-8E1E-003F00B6008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H54</xm:sqref>
        </x14:conditionalFormatting>
        <x14:conditionalFormatting xmlns:xm="http://schemas.microsoft.com/office/excel/2006/main">
          <x14:cfRule type="expression" priority="1" id="{000200B2-0012-4A32-9374-0080000300D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H56</xm:sqref>
        </x14:conditionalFormatting>
        <x14:conditionalFormatting xmlns:xm="http://schemas.microsoft.com/office/excel/2006/main">
          <x14:cfRule type="expression" priority="1" id="{00E30024-00C9-44D5-B14A-003B008800F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H56</xm:sqref>
        </x14:conditionalFormatting>
        <x14:conditionalFormatting xmlns:xm="http://schemas.microsoft.com/office/excel/2006/main">
          <x14:cfRule type="expression" priority="1" id="{00A100BA-00E5-4A1F-9766-007200AC00B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H61</xm:sqref>
        </x14:conditionalFormatting>
        <x14:conditionalFormatting xmlns:xm="http://schemas.microsoft.com/office/excel/2006/main">
          <x14:cfRule type="expression" priority="1" id="{000A009D-00AC-4F2A-9EFD-008A00F9009B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H61</xm:sqref>
        </x14:conditionalFormatting>
        <x14:conditionalFormatting xmlns:xm="http://schemas.microsoft.com/office/excel/2006/main">
          <x14:cfRule type="expression" priority="1" id="{002100E4-0098-4B30-927B-00E6001D00B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expression" priority="1" id="{00A800D8-003C-4DE9-9FC0-0017001F002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H63</xm:sqref>
        </x14:conditionalFormatting>
        <x14:conditionalFormatting xmlns:xm="http://schemas.microsoft.com/office/excel/2006/main">
          <x14:cfRule type="expression" priority="1" id="{00CA00A8-001A-492F-AA35-0060004A00E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H65</xm:sqref>
        </x14:conditionalFormatting>
        <x14:conditionalFormatting xmlns:xm="http://schemas.microsoft.com/office/excel/2006/main">
          <x14:cfRule type="expression" priority="1" id="{008F0048-00EC-4FDF-B516-004F0032001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H65</xm:sqref>
        </x14:conditionalFormatting>
        <x14:conditionalFormatting xmlns:xm="http://schemas.microsoft.com/office/excel/2006/main">
          <x14:cfRule type="expression" priority="1" id="{00E6005B-0056-48C6-A862-0071002E000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H68</xm:sqref>
        </x14:conditionalFormatting>
        <x14:conditionalFormatting xmlns:xm="http://schemas.microsoft.com/office/excel/2006/main">
          <x14:cfRule type="expression" priority="1" id="{00960006-00B3-4EAE-9CE4-00DB0072007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H68</xm:sqref>
        </x14:conditionalFormatting>
        <x14:conditionalFormatting xmlns:xm="http://schemas.microsoft.com/office/excel/2006/main">
          <x14:cfRule type="expression" priority="1" id="{009400F6-0045-4080-9B5A-009D006600FD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expression" priority="1" id="{003B00E6-001A-4E31-AB44-00D20045007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H51</xm:sqref>
        </x14:conditionalFormatting>
        <x14:conditionalFormatting xmlns:xm="http://schemas.microsoft.com/office/excel/2006/main">
          <x14:cfRule type="expression" priority="1" id="{002300F4-00CF-42AD-80B8-00740057004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H55</xm:sqref>
        </x14:conditionalFormatting>
        <x14:conditionalFormatting xmlns:xm="http://schemas.microsoft.com/office/excel/2006/main">
          <x14:cfRule type="expression" priority="1" id="{007F0087-0088-4E82-82F9-008100CF004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H55</xm:sqref>
        </x14:conditionalFormatting>
        <x14:conditionalFormatting xmlns:xm="http://schemas.microsoft.com/office/excel/2006/main">
          <x14:cfRule type="expression" priority="1" id="{00E20003-00A1-4B6A-9E0C-00AB002400E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expression" priority="1" id="{00370053-001F-4EEF-BA80-003900D500E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H58</xm:sqref>
        </x14:conditionalFormatting>
        <x14:conditionalFormatting xmlns:xm="http://schemas.microsoft.com/office/excel/2006/main">
          <x14:cfRule type="expression" priority="1" id="{00D90047-0039-4B97-B303-004500C8007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H60</xm:sqref>
        </x14:conditionalFormatting>
        <x14:conditionalFormatting xmlns:xm="http://schemas.microsoft.com/office/excel/2006/main">
          <x14:cfRule type="expression" priority="1" id="{003F0009-0051-4D50-B3D4-00CA00C8000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H60</xm:sqref>
        </x14:conditionalFormatting>
        <x14:conditionalFormatting xmlns:xm="http://schemas.microsoft.com/office/excel/2006/main">
          <x14:cfRule type="expression" priority="1" id="{003C00C1-00B1-4355-BA8F-00AE00B4007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H62</xm:sqref>
        </x14:conditionalFormatting>
        <x14:conditionalFormatting xmlns:xm="http://schemas.microsoft.com/office/excel/2006/main">
          <x14:cfRule type="expression" priority="1" id="{009000AC-00A8-4219-812A-005500FA008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H62</xm:sqref>
        </x14:conditionalFormatting>
        <x14:conditionalFormatting xmlns:xm="http://schemas.microsoft.com/office/excel/2006/main">
          <x14:cfRule type="expression" priority="1" id="{003200E1-00FB-4F2A-A548-00B400F1007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H64</xm:sqref>
        </x14:conditionalFormatting>
        <x14:conditionalFormatting xmlns:xm="http://schemas.microsoft.com/office/excel/2006/main">
          <x14:cfRule type="expression" priority="1" id="{00720053-00C5-48FC-A878-00BC00AB00C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H64</xm:sqref>
        </x14:conditionalFormatting>
        <x14:conditionalFormatting xmlns:xm="http://schemas.microsoft.com/office/excel/2006/main">
          <x14:cfRule type="expression" priority="1" id="{0038000B-0013-4CB2-9C34-00510001007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H72</xm:sqref>
        </x14:conditionalFormatting>
        <x14:conditionalFormatting xmlns:xm="http://schemas.microsoft.com/office/excel/2006/main">
          <x14:cfRule type="expression" priority="1" id="{007900B7-0059-4908-A6D1-00AD0060000D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H72</xm:sqref>
        </x14:conditionalFormatting>
        <x14:conditionalFormatting xmlns:xm="http://schemas.microsoft.com/office/excel/2006/main">
          <x14:cfRule type="expression" priority="1" id="{002900A6-0062-4E66-9FCC-0081006B004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H67</xm:sqref>
        </x14:conditionalFormatting>
        <x14:conditionalFormatting xmlns:xm="http://schemas.microsoft.com/office/excel/2006/main">
          <x14:cfRule type="expression" priority="1" id="{00A0007C-0090-4527-B425-003D0062000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H67</xm:sqref>
        </x14:conditionalFormatting>
        <x14:conditionalFormatting xmlns:xm="http://schemas.microsoft.com/office/excel/2006/main">
          <x14:cfRule type="expression" priority="1" id="{00EE007B-0079-47E1-956C-006E00CE009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H59</xm:sqref>
        </x14:conditionalFormatting>
        <x14:conditionalFormatting xmlns:xm="http://schemas.microsoft.com/office/excel/2006/main">
          <x14:cfRule type="expression" priority="1" id="{00CB005B-00CC-4B81-AEC1-0015002800D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H59</xm:sqref>
        </x14:conditionalFormatting>
        <x14:conditionalFormatting xmlns:xm="http://schemas.microsoft.com/office/excel/2006/main">
          <x14:cfRule type="expression" priority="1" id="{004C00C7-00E5-463E-AAA2-003F00DC003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G87</xm:sqref>
        </x14:conditionalFormatting>
        <x14:conditionalFormatting xmlns:xm="http://schemas.microsoft.com/office/excel/2006/main">
          <x14:cfRule type="expression" priority="1" id="{0026000E-00D3-4A95-BF32-00570004004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G94</xm:sqref>
        </x14:conditionalFormatting>
        <x14:conditionalFormatting xmlns:xm="http://schemas.microsoft.com/office/excel/2006/main">
          <x14:cfRule type="expression" priority="1" id="{00D00071-00E5-46F6-865E-006A007D00A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G146</xm:sqref>
        </x14:conditionalFormatting>
        <x14:conditionalFormatting xmlns:xm="http://schemas.microsoft.com/office/excel/2006/main">
          <x14:cfRule type="expression" priority="1" id="{008A005B-000D-4153-B08A-00B20086000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G110</xm:sqref>
        </x14:conditionalFormatting>
        <x14:conditionalFormatting xmlns:xm="http://schemas.microsoft.com/office/excel/2006/main">
          <x14:cfRule type="expression" priority="1" id="{00C70074-00EF-4880-9D30-0028009A00E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G110</xm:sqref>
        </x14:conditionalFormatting>
        <x14:conditionalFormatting xmlns:xm="http://schemas.microsoft.com/office/excel/2006/main">
          <x14:cfRule type="expression" priority="1" id="{004000AF-0044-419E-99B7-003600CB00F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G105</xm:sqref>
        </x14:conditionalFormatting>
        <x14:conditionalFormatting xmlns:xm="http://schemas.microsoft.com/office/excel/2006/main">
          <x14:cfRule type="expression" priority="1" id="{000C0088-0033-4EFE-B535-00C2001900C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G105</xm:sqref>
        </x14:conditionalFormatting>
        <x14:conditionalFormatting xmlns:xm="http://schemas.microsoft.com/office/excel/2006/main">
          <x14:cfRule type="expression" priority="1" id="{00300097-00F7-4A47-BA94-009C003A00B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H45</xm:sqref>
        </x14:conditionalFormatting>
        <x14:conditionalFormatting xmlns:xm="http://schemas.microsoft.com/office/excel/2006/main">
          <x14:cfRule type="expression" priority="1" id="{00A200D9-00CB-4FAE-AA46-005700BF009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H45</xm:sqref>
        </x14:conditionalFormatting>
        <x14:conditionalFormatting xmlns:xm="http://schemas.microsoft.com/office/excel/2006/main">
          <x14:cfRule type="expression" priority="1" id="{00150075-00D9-4853-82DC-002A000F009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A2:D2 K2 D2 D2 I2:J2</xm:sqref>
        </x14:conditionalFormatting>
        <x14:conditionalFormatting xmlns:xm="http://schemas.microsoft.com/office/excel/2006/main">
          <x14:cfRule type="expression" priority="1" id="{002500FD-0055-456B-B8A6-00CD003700F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220006-00C9-4290-B480-00320099008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G2:H2</xm:sqref>
        </x14:conditionalFormatting>
        <x14:conditionalFormatting xmlns:xm="http://schemas.microsoft.com/office/excel/2006/main">
          <x14:cfRule type="expression" priority="1" id="{00BF00D9-000C-4729-8CB9-0033005D008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G2</xm:sqref>
        </x14:conditionalFormatting>
        <x14:conditionalFormatting xmlns:xm="http://schemas.microsoft.com/office/excel/2006/main">
          <x14:cfRule type="expression" priority="1" id="{00D00084-0069-43DD-8CC9-00F40004001B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H2</xm:sqref>
        </x14:conditionalFormatting>
        <x14:conditionalFormatting xmlns:xm="http://schemas.microsoft.com/office/excel/2006/main">
          <x14:cfRule type="expression" priority="1" id="{00350031-00BE-4AA6-8303-00C1005100A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B5000A-0011-402C-ABB7-000B0063005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660057-00C6-474A-8BA9-00ED003E006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J2</xm:sqref>
        </x14:conditionalFormatting>
        <x14:conditionalFormatting xmlns:xm="http://schemas.microsoft.com/office/excel/2006/main">
          <x14:cfRule type="expression" priority="1" id="{00560078-0059-44B5-8801-00D5004B00C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J2</xm:sqref>
        </x14:conditionalFormatting>
        <x14:conditionalFormatting xmlns:xm="http://schemas.microsoft.com/office/excel/2006/main">
          <x14:cfRule type="expression" priority="1" id="{004F0085-0093-43F7-970E-0062003900A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0F00D8-0042-4EA1-AAA5-0038009000F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560031-00FE-498B-AD16-00A700C5008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090054-0076-485F-91FD-00FE0006004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A36 D36 D36 D36 I36:J36</xm:sqref>
        </x14:conditionalFormatting>
        <x14:conditionalFormatting xmlns:xm="http://schemas.microsoft.com/office/excel/2006/main">
          <x14:cfRule type="expression" priority="1" id="{003F00F6-00DE-4F49-8265-005900B600A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G36</xm:sqref>
        </x14:conditionalFormatting>
        <x14:conditionalFormatting xmlns:xm="http://schemas.microsoft.com/office/excel/2006/main">
          <x14:cfRule type="expression" priority="1" id="{00F1001E-003A-4970-BFA7-0062002E006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G36</xm:sqref>
        </x14:conditionalFormatting>
        <x14:conditionalFormatting xmlns:xm="http://schemas.microsoft.com/office/excel/2006/main">
          <x14:cfRule type="expression" priority="1" id="{000D00E0-00ED-49C3-9E39-00BC00C500F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J36</xm:sqref>
        </x14:conditionalFormatting>
        <x14:conditionalFormatting xmlns:xm="http://schemas.microsoft.com/office/excel/2006/main">
          <x14:cfRule type="expression" priority="1" id="{0003005B-0060-4A54-BF35-000B00DE00F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J36</xm:sqref>
        </x14:conditionalFormatting>
        <x14:conditionalFormatting xmlns:xm="http://schemas.microsoft.com/office/excel/2006/main">
          <x14:cfRule type="expression" priority="1" id="{0000009F-00A0-4392-9747-00AA00B4001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J36</xm:sqref>
        </x14:conditionalFormatting>
        <x14:conditionalFormatting xmlns:xm="http://schemas.microsoft.com/office/excel/2006/main">
          <x14:cfRule type="expression" priority="1" id="{003A002F-002D-4C3B-A06B-000F000100C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J36</xm:sqref>
        </x14:conditionalFormatting>
        <x14:conditionalFormatting xmlns:xm="http://schemas.microsoft.com/office/excel/2006/main">
          <x14:cfRule type="expression" priority="1" id="{00CB00C3-00A5-42D8-B780-00C500EB00F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I36</xm:sqref>
        </x14:conditionalFormatting>
        <x14:conditionalFormatting xmlns:xm="http://schemas.microsoft.com/office/excel/2006/main">
          <x14:cfRule type="expression" priority="1" id="{004500DC-0078-492F-996E-001D00CF008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K2</xm:sqref>
        </x14:conditionalFormatting>
        <x14:conditionalFormatting xmlns:xm="http://schemas.microsoft.com/office/excel/2006/main">
          <x14:cfRule type="expression" priority="1" id="{00F400BE-0045-4F26-84A5-00A50086002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K2</xm:sqref>
        </x14:conditionalFormatting>
        <x14:conditionalFormatting xmlns:xm="http://schemas.microsoft.com/office/excel/2006/main">
          <x14:cfRule type="expression" priority="1" id="{00EE00BC-0062-4FFB-9130-003200CD004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AB00F1-0068-4727-984E-00A40081004D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B400AB-005F-4487-929F-0083000F003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DC00FF-0031-4496-B4C1-0072005100E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E100E7-001B-4894-934E-005E003200F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2B006E-00F9-40F4-9789-0007008C009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370043-003C-4851-BFAD-009100F2000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E50000-0042-4FE7-9E91-004200B6008D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1600E9-00C6-4D79-A4E0-00DF005E007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E36</xm:sqref>
        </x14:conditionalFormatting>
        <x14:conditionalFormatting xmlns:xm="http://schemas.microsoft.com/office/excel/2006/main">
          <x14:cfRule type="expression" priority="1" id="{00F20071-0048-4AEA-95B6-00D900F1005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E36</xm:sqref>
        </x14:conditionalFormatting>
        <x14:conditionalFormatting xmlns:xm="http://schemas.microsoft.com/office/excel/2006/main">
          <x14:cfRule type="expression" priority="1" id="{00CC00C2-00C5-4E3F-AF2C-00810002003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F2</xm:sqref>
        </x14:conditionalFormatting>
        <x14:conditionalFormatting xmlns:xm="http://schemas.microsoft.com/office/excel/2006/main">
          <x14:cfRule type="expression" priority="1" id="{00BB0047-00F0-4D47-B992-00F00005007B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expression" priority="1" id="{003F00DE-00AC-49ED-B6D0-00C30026004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E2:F2</xm:sqref>
        </x14:conditionalFormatting>
        <x14:conditionalFormatting xmlns:xm="http://schemas.microsoft.com/office/excel/2006/main">
          <x14:cfRule type="expression" priority="1" id="{00390079-00F7-47FF-A059-008600B7009D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F45</xm:sqref>
        </x14:conditionalFormatting>
        <x14:conditionalFormatting xmlns:xm="http://schemas.microsoft.com/office/excel/2006/main">
          <x14:cfRule type="expression" priority="1" id="{003B0005-0087-40C0-B704-00C500FB00F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F45</xm:sqref>
        </x14:conditionalFormatting>
        <x14:conditionalFormatting xmlns:xm="http://schemas.microsoft.com/office/excel/2006/main">
          <x14:cfRule type="expression" priority="1" id="{0034008E-00E4-46E5-B2A0-009D00F5008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F59</xm:sqref>
        </x14:conditionalFormatting>
        <x14:conditionalFormatting xmlns:xm="http://schemas.microsoft.com/office/excel/2006/main">
          <x14:cfRule type="expression" priority="1" id="{009B0037-00DA-41FE-B168-00FC0051000B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F59</xm:sqref>
        </x14:conditionalFormatting>
        <x14:conditionalFormatting xmlns:xm="http://schemas.microsoft.com/office/excel/2006/main">
          <x14:cfRule type="expression" priority="1" id="{00AF00CA-009C-45B5-A575-002300BD009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F48</xm:sqref>
        </x14:conditionalFormatting>
        <x14:conditionalFormatting xmlns:xm="http://schemas.microsoft.com/office/excel/2006/main">
          <x14:cfRule type="expression" priority="1" id="{00A30092-00ED-4917-8B2F-00E8008F009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F48</xm:sqref>
        </x14:conditionalFormatting>
        <x14:conditionalFormatting xmlns:xm="http://schemas.microsoft.com/office/excel/2006/main">
          <x14:cfRule type="expression" priority="1" id="{001F00FC-0005-4714-8478-0077002F00E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F48</xm:sqref>
        </x14:conditionalFormatting>
        <x14:conditionalFormatting xmlns:xm="http://schemas.microsoft.com/office/excel/2006/main">
          <x14:cfRule type="expression" priority="1" id="{006400F0-004E-43D2-8C7C-001700F8005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E53</xm:sqref>
        </x14:conditionalFormatting>
        <x14:conditionalFormatting xmlns:xm="http://schemas.microsoft.com/office/excel/2006/main">
          <x14:cfRule type="expression" priority="1" id="{00470070-00BF-4BB0-857A-00F50013000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E53</xm:sqref>
        </x14:conditionalFormatting>
        <x14:conditionalFormatting xmlns:xm="http://schemas.microsoft.com/office/excel/2006/main">
          <x14:cfRule type="expression" priority="1" id="{00280009-0031-4F45-B7F0-009F0058004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E53</xm:sqref>
        </x14:conditionalFormatting>
        <x14:conditionalFormatting xmlns:xm="http://schemas.microsoft.com/office/excel/2006/main">
          <x14:cfRule type="expression" priority="1" id="{00DD0094-00ED-4586-9BD9-00F10080006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E62</xm:sqref>
        </x14:conditionalFormatting>
        <x14:conditionalFormatting xmlns:xm="http://schemas.microsoft.com/office/excel/2006/main">
          <x14:cfRule type="expression" priority="1" id="{0005001C-0022-49F9-9456-003200AB00E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E62</xm:sqref>
        </x14:conditionalFormatting>
        <x14:conditionalFormatting xmlns:xm="http://schemas.microsoft.com/office/excel/2006/main">
          <x14:cfRule type="expression" priority="1" id="{0020002D-0036-40D1-8F05-00C60011003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E62</xm:sqref>
        </x14:conditionalFormatting>
        <x14:conditionalFormatting xmlns:xm="http://schemas.microsoft.com/office/excel/2006/main">
          <x14:cfRule type="expression" priority="1" id="{005F00FC-008F-43FE-88F1-008600CC008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E71</xm:sqref>
        </x14:conditionalFormatting>
        <x14:conditionalFormatting xmlns:xm="http://schemas.microsoft.com/office/excel/2006/main">
          <x14:cfRule type="expression" priority="1" id="{00C10073-0068-43DB-BB73-00D400ED001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E71</xm:sqref>
        </x14:conditionalFormatting>
        <x14:conditionalFormatting xmlns:xm="http://schemas.microsoft.com/office/excel/2006/main">
          <x14:cfRule type="expression" priority="1" id="{00FD0012-0096-48C7-8FD7-007900A5001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E71</xm:sqref>
        </x14:conditionalFormatting>
        <x14:conditionalFormatting xmlns:xm="http://schemas.microsoft.com/office/excel/2006/main">
          <x14:cfRule type="expression" priority="1" id="{009D0098-0011-460F-8946-00E300D800A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E71</xm:sqref>
        </x14:conditionalFormatting>
        <x14:conditionalFormatting xmlns:xm="http://schemas.microsoft.com/office/excel/2006/main">
          <x14:cfRule type="expression" priority="1" id="{00BE003A-006E-41AE-A311-0071001E00DD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E71</xm:sqref>
        </x14:conditionalFormatting>
        <x14:conditionalFormatting xmlns:xm="http://schemas.microsoft.com/office/excel/2006/main">
          <x14:cfRule type="expression" priority="1" id="{008900F7-00C7-4776-861A-0054000E005B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E60</xm:sqref>
        </x14:conditionalFormatting>
        <x14:conditionalFormatting xmlns:xm="http://schemas.microsoft.com/office/excel/2006/main">
          <x14:cfRule type="expression" priority="1" id="{00AE0031-00A8-4107-9D77-00960071006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E60</xm:sqref>
        </x14:conditionalFormatting>
        <x14:conditionalFormatting xmlns:xm="http://schemas.microsoft.com/office/excel/2006/main">
          <x14:cfRule type="expression" priority="1" id="{0003002D-00BF-4425-8263-00270014008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E58</xm:sqref>
        </x14:conditionalFormatting>
        <x14:conditionalFormatting xmlns:xm="http://schemas.microsoft.com/office/excel/2006/main">
          <x14:cfRule type="expression" priority="1" id="{0068004A-0019-480C-9702-00DE009E00D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E58</xm:sqref>
        </x14:conditionalFormatting>
        <x14:conditionalFormatting xmlns:xm="http://schemas.microsoft.com/office/excel/2006/main">
          <x14:cfRule type="expression" priority="1" id="{00D10027-0096-4165-8870-009E009E002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E55</xm:sqref>
        </x14:conditionalFormatting>
        <x14:conditionalFormatting xmlns:xm="http://schemas.microsoft.com/office/excel/2006/main">
          <x14:cfRule type="expression" priority="1" id="{00E600BC-0035-4365-891C-000400BD000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E55</xm:sqref>
        </x14:conditionalFormatting>
        <x14:conditionalFormatting xmlns:xm="http://schemas.microsoft.com/office/excel/2006/main">
          <x14:cfRule type="expression" priority="1" id="{00810072-00A2-46A3-960B-007500E3004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E52</xm:sqref>
        </x14:conditionalFormatting>
        <x14:conditionalFormatting xmlns:xm="http://schemas.microsoft.com/office/excel/2006/main">
          <x14:cfRule type="expression" priority="1" id="{009100B5-0057-426A-86E1-000D0051004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F103</xm:sqref>
        </x14:conditionalFormatting>
        <x14:conditionalFormatting xmlns:xm="http://schemas.microsoft.com/office/excel/2006/main">
          <x14:cfRule type="expression" priority="1" id="{00F1002B-0057-47EA-A14C-002F005400F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E66</xm:sqref>
        </x14:conditionalFormatting>
        <x14:conditionalFormatting xmlns:xm="http://schemas.microsoft.com/office/excel/2006/main">
          <x14:cfRule type="expression" priority="1" id="{00AF0060-00BB-4565-82EF-00FF002F001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E66</xm:sqref>
        </x14:conditionalFormatting>
        <x14:conditionalFormatting xmlns:xm="http://schemas.microsoft.com/office/excel/2006/main">
          <x14:cfRule type="expression" priority="1" id="{00B900C3-0091-4378-94C5-001E00D5009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E66</xm:sqref>
        </x14:conditionalFormatting>
        <x14:conditionalFormatting xmlns:xm="http://schemas.microsoft.com/office/excel/2006/main">
          <x14:cfRule type="expression" priority="1" id="{001C00DD-00BC-4427-9AFF-000600D000E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E66</xm:sqref>
        </x14:conditionalFormatting>
        <x14:conditionalFormatting xmlns:xm="http://schemas.microsoft.com/office/excel/2006/main">
          <x14:cfRule type="expression" priority="1" id="{007800EB-00A1-4964-BBB7-0076000D001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E64</xm:sqref>
        </x14:conditionalFormatting>
        <x14:conditionalFormatting xmlns:xm="http://schemas.microsoft.com/office/excel/2006/main">
          <x14:cfRule type="expression" priority="1" id="{004400E4-0052-4AA5-8200-00F200EA00D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E64</xm:sqref>
        </x14:conditionalFormatting>
        <x14:conditionalFormatting xmlns:xm="http://schemas.microsoft.com/office/excel/2006/main">
          <x14:cfRule type="expression" priority="1" id="{00760059-0049-4194-A3DE-00860003002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E64</xm:sqref>
        </x14:conditionalFormatting>
        <x14:conditionalFormatting xmlns:xm="http://schemas.microsoft.com/office/excel/2006/main">
          <x14:cfRule type="expression" priority="1" id="{002B005C-009F-461B-800A-00C2005F001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E64</xm:sqref>
        </x14:conditionalFormatting>
        <x14:conditionalFormatting xmlns:xm="http://schemas.microsoft.com/office/excel/2006/main">
          <x14:cfRule type="expression" priority="1" id="{00440089-0010-4273-994C-002500D200A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E59</xm:sqref>
        </x14:conditionalFormatting>
        <x14:conditionalFormatting xmlns:xm="http://schemas.microsoft.com/office/excel/2006/main">
          <x14:cfRule type="expression" priority="1" id="{00F600E4-005E-48CE-A762-0079007B00F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E59</xm:sqref>
        </x14:conditionalFormatting>
        <x14:conditionalFormatting xmlns:xm="http://schemas.microsoft.com/office/excel/2006/main">
          <x14:cfRule type="expression" priority="1" id="{00CE006B-00EF-4CB4-BAF5-0096006B006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E59</xm:sqref>
        </x14:conditionalFormatting>
        <x14:conditionalFormatting xmlns:xm="http://schemas.microsoft.com/office/excel/2006/main">
          <x14:cfRule type="expression" priority="1" id="{00790095-006B-4CCC-9293-000E002D004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E59</xm:sqref>
        </x14:conditionalFormatting>
        <x14:conditionalFormatting xmlns:xm="http://schemas.microsoft.com/office/excel/2006/main">
          <x14:cfRule type="expression" priority="1" id="{00C600F5-0012-4FCB-8748-008900BB003D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E48</xm:sqref>
        </x14:conditionalFormatting>
        <x14:conditionalFormatting xmlns:xm="http://schemas.microsoft.com/office/excel/2006/main">
          <x14:cfRule type="expression" priority="1" id="{002D0052-004A-4BCC-A933-0066006E008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E48</xm:sqref>
        </x14:conditionalFormatting>
        <x14:conditionalFormatting xmlns:xm="http://schemas.microsoft.com/office/excel/2006/main">
          <x14:cfRule type="expression" priority="1" id="{00250038-008D-44D7-8E32-002200E800B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E48</xm:sqref>
        </x14:conditionalFormatting>
        <x14:conditionalFormatting xmlns:xm="http://schemas.microsoft.com/office/excel/2006/main">
          <x14:cfRule type="expression" priority="1" id="{00EF0000-0025-42B1-8299-008F004600B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E48</xm:sqref>
        </x14:conditionalFormatting>
        <x14:conditionalFormatting xmlns:xm="http://schemas.microsoft.com/office/excel/2006/main">
          <x14:cfRule type="expression" priority="1" id="{002A0071-0095-419C-B0E0-00A0008900E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E43</xm:sqref>
        </x14:conditionalFormatting>
        <x14:conditionalFormatting xmlns:xm="http://schemas.microsoft.com/office/excel/2006/main">
          <x14:cfRule type="expression" priority="1" id="{00D700FD-00D8-4C22-B935-008600D7000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E43</xm:sqref>
        </x14:conditionalFormatting>
        <x14:conditionalFormatting xmlns:xm="http://schemas.microsoft.com/office/excel/2006/main">
          <x14:cfRule type="expression" priority="1" id="{006800BC-0079-47AD-96B4-0041002000C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E43</xm:sqref>
        </x14:conditionalFormatting>
        <x14:conditionalFormatting xmlns:xm="http://schemas.microsoft.com/office/excel/2006/main">
          <x14:cfRule type="expression" priority="1" id="{00510060-00EF-4E71-A11E-00EF004C00C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E43</xm:sqref>
        </x14:conditionalFormatting>
        <x14:conditionalFormatting xmlns:xm="http://schemas.microsoft.com/office/excel/2006/main">
          <x14:cfRule type="expression" priority="1" id="{0099003E-006E-4E95-BC20-00FC0000007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E26</xm:sqref>
        </x14:conditionalFormatting>
        <x14:conditionalFormatting xmlns:xm="http://schemas.microsoft.com/office/excel/2006/main">
          <x14:cfRule type="expression" priority="1" id="{005C003F-0066-489C-998B-006900C4004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E26</xm:sqref>
        </x14:conditionalFormatting>
        <x14:conditionalFormatting xmlns:xm="http://schemas.microsoft.com/office/excel/2006/main">
          <x14:cfRule type="expression" priority="1" id="{00BA009C-00B0-4CFA-BC3A-00F30080008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E26</xm:sqref>
        </x14:conditionalFormatting>
        <x14:conditionalFormatting xmlns:xm="http://schemas.microsoft.com/office/excel/2006/main">
          <x14:cfRule type="expression" priority="1" id="{00F200BE-008C-4A7A-A2FB-002B008B00F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E26</xm:sqref>
        </x14:conditionalFormatting>
        <x14:conditionalFormatting xmlns:xm="http://schemas.microsoft.com/office/excel/2006/main">
          <x14:cfRule type="expression" priority="1" id="{006E00BB-0045-4D28-BC40-000700BA008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F43</xm:sqref>
        </x14:conditionalFormatting>
        <x14:conditionalFormatting xmlns:xm="http://schemas.microsoft.com/office/excel/2006/main">
          <x14:cfRule type="expression" priority="1" id="{00110003-0014-428A-AA93-00D50024000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E156</xm:sqref>
        </x14:conditionalFormatting>
        <x14:conditionalFormatting xmlns:xm="http://schemas.microsoft.com/office/excel/2006/main">
          <x14:cfRule type="expression" priority="1" id="{00A20049-00E1-4EA6-8D7C-004500F6009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E156</xm:sqref>
        </x14:conditionalFormatting>
        <x14:conditionalFormatting xmlns:xm="http://schemas.microsoft.com/office/excel/2006/main">
          <x14:cfRule type="expression" priority="1" id="{008D00D8-00CD-4700-8BE7-000F0074006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E156</xm:sqref>
        </x14:conditionalFormatting>
        <x14:conditionalFormatting xmlns:xm="http://schemas.microsoft.com/office/excel/2006/main">
          <x14:cfRule type="expression" priority="1" id="{002F001E-006A-4F25-B848-00AF00DF008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F156</xm:sqref>
        </x14:conditionalFormatting>
        <x14:conditionalFormatting xmlns:xm="http://schemas.microsoft.com/office/excel/2006/main">
          <x14:cfRule type="expression" priority="1" id="{009D0029-00D8-4A08-AE80-00D500F4008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F156</xm:sqref>
        </x14:conditionalFormatting>
        <x14:conditionalFormatting xmlns:xm="http://schemas.microsoft.com/office/excel/2006/main">
          <x14:cfRule type="expression" priority="1" id="{00BB0018-0075-414F-93C2-002C006E00C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F156</xm:sqref>
        </x14:conditionalFormatting>
        <x14:conditionalFormatting xmlns:xm="http://schemas.microsoft.com/office/excel/2006/main">
          <x14:cfRule type="expression" priority="1" id="{007D0077-007A-41F5-BD0A-00A1002700E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E193</xm:sqref>
        </x14:conditionalFormatting>
        <x14:conditionalFormatting xmlns:xm="http://schemas.microsoft.com/office/excel/2006/main">
          <x14:cfRule type="expression" priority="1" id="{001E00AD-004C-4E90-AAFB-002D0026005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E193</xm:sqref>
        </x14:conditionalFormatting>
        <x14:conditionalFormatting xmlns:xm="http://schemas.microsoft.com/office/excel/2006/main">
          <x14:cfRule type="expression" priority="1" id="{002A00E6-0060-4F5B-B2F8-00370083004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E137</xm:sqref>
        </x14:conditionalFormatting>
        <x14:conditionalFormatting xmlns:xm="http://schemas.microsoft.com/office/excel/2006/main">
          <x14:cfRule type="expression" priority="1" id="{007200DA-00B8-4F88-A7EB-00A0001200C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E137</xm:sqref>
        </x14:conditionalFormatting>
        <x14:conditionalFormatting xmlns:xm="http://schemas.microsoft.com/office/excel/2006/main">
          <x14:cfRule type="expression" priority="1" id="{004F0051-00D4-46F5-B042-005C007B00D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E117</xm:sqref>
        </x14:conditionalFormatting>
        <x14:conditionalFormatting xmlns:xm="http://schemas.microsoft.com/office/excel/2006/main">
          <x14:cfRule type="expression" priority="1" id="{000B00A9-007B-4FCB-B2ED-00CD007F00F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E117</xm:sqref>
        </x14:conditionalFormatting>
        <x14:conditionalFormatting xmlns:xm="http://schemas.microsoft.com/office/excel/2006/main">
          <x14:cfRule type="expression" priority="1" id="{00100084-0039-4641-8C4A-005300E000F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E79</xm:sqref>
        </x14:conditionalFormatting>
        <x14:conditionalFormatting xmlns:xm="http://schemas.microsoft.com/office/excel/2006/main">
          <x14:cfRule type="expression" priority="1" id="{00BB0046-0008-40DC-B2FA-002E0024004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E79</xm:sqref>
        </x14:conditionalFormatting>
        <x14:conditionalFormatting xmlns:xm="http://schemas.microsoft.com/office/excel/2006/main">
          <x14:cfRule type="expression" priority="1" id="{007100C8-00E1-4176-8F9D-009000A2008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E44</xm:sqref>
        </x14:conditionalFormatting>
        <x14:conditionalFormatting xmlns:xm="http://schemas.microsoft.com/office/excel/2006/main">
          <x14:cfRule type="expression" priority="1" id="{000F0036-00A5-4311-B73E-00FC0096006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E37</xm:sqref>
        </x14:conditionalFormatting>
        <x14:conditionalFormatting xmlns:xm="http://schemas.microsoft.com/office/excel/2006/main">
          <x14:cfRule type="expression" priority="1" id="{000F00D7-00EC-42C3-89A1-0068008A008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E217</xm:sqref>
        </x14:conditionalFormatting>
        <x14:conditionalFormatting xmlns:xm="http://schemas.microsoft.com/office/excel/2006/main">
          <x14:cfRule type="expression" priority="1" id="{009200A8-0029-410E-9B2B-00E30005001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E217</xm:sqref>
        </x14:conditionalFormatting>
        <x14:conditionalFormatting xmlns:xm="http://schemas.microsoft.com/office/excel/2006/main">
          <x14:cfRule type="expression" priority="1" id="{007A00B3-00D4-4A19-BF20-000B003800C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E201</xm:sqref>
        </x14:conditionalFormatting>
        <x14:conditionalFormatting xmlns:xm="http://schemas.microsoft.com/office/excel/2006/main">
          <x14:cfRule type="expression" priority="1" id="{00DB008A-00DC-4055-BE90-00A500AF006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E201</xm:sqref>
        </x14:conditionalFormatting>
        <x14:conditionalFormatting xmlns:xm="http://schemas.microsoft.com/office/excel/2006/main">
          <x14:cfRule type="expression" priority="1" id="{00EF0039-0079-45DF-A556-00A200F2006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E184</xm:sqref>
        </x14:conditionalFormatting>
        <x14:conditionalFormatting xmlns:xm="http://schemas.microsoft.com/office/excel/2006/main">
          <x14:cfRule type="expression" priority="1" id="{0012001E-0084-4846-A850-00DC001C007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E184</xm:sqref>
        </x14:conditionalFormatting>
        <x14:conditionalFormatting xmlns:xm="http://schemas.microsoft.com/office/excel/2006/main">
          <x14:cfRule type="expression" priority="1" id="{0068004F-0008-46FE-8433-0054002A00B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E228</xm:sqref>
        </x14:conditionalFormatting>
        <x14:conditionalFormatting xmlns:xm="http://schemas.microsoft.com/office/excel/2006/main">
          <x14:cfRule type="expression" priority="1" id="{003700E7-006D-44D1-9FFC-00E300F500B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E228</xm:sqref>
        </x14:conditionalFormatting>
        <x14:conditionalFormatting xmlns:xm="http://schemas.microsoft.com/office/excel/2006/main">
          <x14:cfRule type="expression" priority="1" id="{0081002E-0099-4C02-AEBB-00600089005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E184</xm:sqref>
        </x14:conditionalFormatting>
        <x14:conditionalFormatting xmlns:xm="http://schemas.microsoft.com/office/excel/2006/main">
          <x14:cfRule type="expression" priority="1" id="{004A000E-002C-408E-8683-000D000A00B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E79</xm:sqref>
        </x14:conditionalFormatting>
        <x14:conditionalFormatting xmlns:xm="http://schemas.microsoft.com/office/excel/2006/main">
          <x14:cfRule type="expression" priority="1" id="{002200BC-006F-476A-B4B4-001F0062005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F235</xm:sqref>
        </x14:conditionalFormatting>
        <x14:conditionalFormatting xmlns:xm="http://schemas.microsoft.com/office/excel/2006/main">
          <x14:cfRule type="expression" priority="1" id="{006B006C-0016-4E0C-B775-002E009F006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F228</xm:sqref>
        </x14:conditionalFormatting>
        <x14:conditionalFormatting xmlns:xm="http://schemas.microsoft.com/office/excel/2006/main">
          <x14:cfRule type="expression" priority="1" id="{001C0023-00D8-4866-8A67-00AA00CC009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F217</xm:sqref>
        </x14:conditionalFormatting>
        <x14:conditionalFormatting xmlns:xm="http://schemas.microsoft.com/office/excel/2006/main">
          <x14:cfRule type="expression" priority="1" id="{00B200BA-0026-495C-A72A-0018003000E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F201</xm:sqref>
        </x14:conditionalFormatting>
        <x14:conditionalFormatting xmlns:xm="http://schemas.microsoft.com/office/excel/2006/main">
          <x14:cfRule type="expression" priority="1" id="{00AC0015-00C2-4648-8912-000600D9008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F201</xm:sqref>
        </x14:conditionalFormatting>
        <x14:conditionalFormatting xmlns:xm="http://schemas.microsoft.com/office/excel/2006/main">
          <x14:cfRule type="expression" priority="1" id="{00F900D9-004D-4659-9F7E-00E10043006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F193:F195</xm:sqref>
        </x14:conditionalFormatting>
        <x14:conditionalFormatting xmlns:xm="http://schemas.microsoft.com/office/excel/2006/main">
          <x14:cfRule type="expression" priority="1" id="{003D009C-00BE-405B-897F-009B0083001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F184:F192</xm:sqref>
        </x14:conditionalFormatting>
        <x14:conditionalFormatting xmlns:xm="http://schemas.microsoft.com/office/excel/2006/main">
          <x14:cfRule type="expression" priority="1" id="{006200FD-0067-41DA-8496-00AD00B400E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E156</xm:sqref>
        </x14:conditionalFormatting>
        <x14:conditionalFormatting xmlns:xm="http://schemas.microsoft.com/office/excel/2006/main">
          <x14:cfRule type="expression" priority="1" id="{00280035-006A-42C6-99AB-00550004004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E156</xm:sqref>
        </x14:conditionalFormatting>
        <x14:conditionalFormatting xmlns:xm="http://schemas.microsoft.com/office/excel/2006/main">
          <x14:cfRule type="expression" priority="1" id="{007E0000-006E-4E64-9516-0095001700A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F146</xm:sqref>
        </x14:conditionalFormatting>
        <x14:conditionalFormatting xmlns:xm="http://schemas.microsoft.com/office/excel/2006/main">
          <x14:cfRule type="expression" priority="1" id="{00480089-009A-4159-BD69-00FE009B00F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F142</xm:sqref>
        </x14:conditionalFormatting>
        <x14:conditionalFormatting xmlns:xm="http://schemas.microsoft.com/office/excel/2006/main">
          <x14:cfRule type="expression" priority="1" id="{00DE008B-0090-439D-8CB8-00930036004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F137</xm:sqref>
        </x14:conditionalFormatting>
        <x14:conditionalFormatting xmlns:xm="http://schemas.microsoft.com/office/excel/2006/main">
          <x14:cfRule type="expression" priority="1" id="{00F90083-009C-414B-93F5-006700E0009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F117</xm:sqref>
        </x14:conditionalFormatting>
        <x14:conditionalFormatting xmlns:xm="http://schemas.microsoft.com/office/excel/2006/main">
          <x14:cfRule type="expression" priority="1" id="{00780096-0001-4F87-98D3-0000001800B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F79:F102 F104:F113</xm:sqref>
        </x14:conditionalFormatting>
        <x14:conditionalFormatting xmlns:xm="http://schemas.microsoft.com/office/excel/2006/main">
          <x14:cfRule type="expression" priority="1" id="{007E003E-004E-422F-A575-00C50095009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E223</xm:sqref>
        </x14:conditionalFormatting>
        <x14:conditionalFormatting xmlns:xm="http://schemas.microsoft.com/office/excel/2006/main">
          <x14:cfRule type="expression" priority="1" id="{00F60000-0031-4861-96A6-00A600D1008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E216</xm:sqref>
        </x14:conditionalFormatting>
        <x14:conditionalFormatting xmlns:xm="http://schemas.microsoft.com/office/excel/2006/main">
          <x14:cfRule type="expression" priority="1" id="{00B70056-00D4-4804-BE87-00510067001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E196</xm:sqref>
        </x14:conditionalFormatting>
        <x14:conditionalFormatting xmlns:xm="http://schemas.microsoft.com/office/excel/2006/main">
          <x14:cfRule type="expression" priority="1" id="{00F400EC-0066-4957-BCAA-00CF005600E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E150</xm:sqref>
        </x14:conditionalFormatting>
        <x14:conditionalFormatting xmlns:xm="http://schemas.microsoft.com/office/excel/2006/main">
          <x14:cfRule type="expression" priority="1" id="{008400A8-0028-49FF-ACD6-00EA00B100FB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E129</xm:sqref>
        </x14:conditionalFormatting>
        <x14:conditionalFormatting xmlns:xm="http://schemas.microsoft.com/office/excel/2006/main">
          <x14:cfRule type="expression" priority="1" id="{00920050-00A7-4180-A745-00A7004F00F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E114</xm:sqref>
        </x14:conditionalFormatting>
        <x14:conditionalFormatting xmlns:xm="http://schemas.microsoft.com/office/excel/2006/main">
          <x14:cfRule type="expression" priority="1" id="{006200CA-0045-4C75-9AB4-00EF00A1000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E74</xm:sqref>
        </x14:conditionalFormatting>
        <x14:conditionalFormatting xmlns:xm="http://schemas.microsoft.com/office/excel/2006/main">
          <x14:cfRule type="expression" priority="1" id="{00FB00E7-00C1-4400-96D4-00D5009A009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F30</xm:sqref>
        </x14:conditionalFormatting>
        <x14:conditionalFormatting xmlns:xm="http://schemas.microsoft.com/office/excel/2006/main">
          <x14:cfRule type="expression" priority="1" id="{00F200F6-00CE-48F9-8505-002500D1007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F30</xm:sqref>
        </x14:conditionalFormatting>
        <x14:conditionalFormatting xmlns:xm="http://schemas.microsoft.com/office/excel/2006/main">
          <x14:cfRule type="expression" priority="1" id="{00540030-009D-4545-A19D-004D009D001D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F2:F19</xm:sqref>
        </x14:conditionalFormatting>
        <x14:conditionalFormatting xmlns:xm="http://schemas.microsoft.com/office/excel/2006/main">
          <x14:cfRule type="expression" priority="1" id="{00010016-0031-4F65-A203-0067001F003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E23</xm:sqref>
        </x14:conditionalFormatting>
        <x14:conditionalFormatting xmlns:xm="http://schemas.microsoft.com/office/excel/2006/main">
          <x14:cfRule type="expression" priority="1" id="{002000C6-00DC-45AD-A7F3-00F400EC00CB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E22</xm:sqref>
        </x14:conditionalFormatting>
        <x14:conditionalFormatting xmlns:xm="http://schemas.microsoft.com/office/excel/2006/main">
          <x14:cfRule type="expression" priority="1" id="{00D70099-0088-43BA-8697-009200EC00AD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E21</xm:sqref>
        </x14:conditionalFormatting>
        <x14:conditionalFormatting xmlns:xm="http://schemas.microsoft.com/office/excel/2006/main">
          <x14:cfRule type="expression" priority="1" id="{00C300BF-00A4-4E84-A49D-007400E6002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E20</xm:sqref>
        </x14:conditionalFormatting>
        <x14:conditionalFormatting xmlns:xm="http://schemas.microsoft.com/office/excel/2006/main">
          <x14:cfRule type="expression" priority="1" id="{0023002A-008E-4957-BD97-0077002600C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E16</xm:sqref>
        </x14:conditionalFormatting>
        <x14:conditionalFormatting xmlns:xm="http://schemas.microsoft.com/office/excel/2006/main">
          <x14:cfRule type="expression" priority="1" id="{00A80047-00B5-4DFA-8762-00EE001E007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E14</xm:sqref>
        </x14:conditionalFormatting>
        <x14:conditionalFormatting xmlns:xm="http://schemas.microsoft.com/office/excel/2006/main">
          <x14:cfRule type="expression" priority="1" id="{00880032-00E8-4662-9559-004F00D900A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E12</xm:sqref>
        </x14:conditionalFormatting>
        <x14:conditionalFormatting xmlns:xm="http://schemas.microsoft.com/office/excel/2006/main">
          <x14:cfRule type="expression" priority="1" id="{000F0016-00B2-404B-93D4-00F300A600C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E26</xm:sqref>
        </x14:conditionalFormatting>
        <x14:conditionalFormatting xmlns:xm="http://schemas.microsoft.com/office/excel/2006/main">
          <x14:cfRule type="expression" priority="1" id="{00950052-0062-471B-865F-0038008D00D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E26</xm:sqref>
        </x14:conditionalFormatting>
        <x14:conditionalFormatting xmlns:xm="http://schemas.microsoft.com/office/excel/2006/main">
          <x14:cfRule type="expression" priority="1" id="{00970023-0004-4AF6-9F7B-00BD0041008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E26</xm:sqref>
        </x14:conditionalFormatting>
        <x14:conditionalFormatting xmlns:xm="http://schemas.microsoft.com/office/excel/2006/main">
          <x14:cfRule type="expression" priority="1" id="{002900C8-0024-465A-8C47-00F2007200D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F29</xm:sqref>
        </x14:conditionalFormatting>
        <x14:conditionalFormatting xmlns:xm="http://schemas.microsoft.com/office/excel/2006/main">
          <x14:cfRule type="expression" priority="1" id="{00450024-0092-416D-812C-007C00BB00C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F28</xm:sqref>
        </x14:conditionalFormatting>
        <x14:conditionalFormatting xmlns:xm="http://schemas.microsoft.com/office/excel/2006/main">
          <x14:cfRule type="expression" priority="1" id="{003F00D1-00C7-43BE-AECF-0074005C002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F25</xm:sqref>
        </x14:conditionalFormatting>
        <x14:conditionalFormatting xmlns:xm="http://schemas.microsoft.com/office/excel/2006/main">
          <x14:cfRule type="expression" priority="1" id="{00700095-00DD-4F92-B292-00BA008E000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F23</xm:sqref>
        </x14:conditionalFormatting>
        <x14:conditionalFormatting xmlns:xm="http://schemas.microsoft.com/office/excel/2006/main">
          <x14:cfRule type="expression" priority="1" id="{007500D3-0078-42AB-B2A5-00B00087004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F20:F35 F37:F42 F44:F47 F74:F78 F114:F116 F129:F136 F150:F155 F196:F200 F223:F226</xm:sqref>
        </x14:conditionalFormatting>
        <x14:conditionalFormatting xmlns:xm="http://schemas.microsoft.com/office/excel/2006/main">
          <x14:cfRule type="expression" priority="1" id="{000200E5-00AF-49E2-B559-008B004F003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E26</xm:sqref>
        </x14:conditionalFormatting>
        <x14:conditionalFormatting xmlns:xm="http://schemas.microsoft.com/office/excel/2006/main">
          <x14:cfRule type="expression" priority="1" id="{00290009-000E-4A21-B7B3-003D005A000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E22</xm:sqref>
        </x14:conditionalFormatting>
        <x14:conditionalFormatting xmlns:xm="http://schemas.microsoft.com/office/excel/2006/main">
          <x14:cfRule type="expression" priority="1" id="{00EF009F-00BC-47A0-AB80-002700C3009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E27</xm:sqref>
        </x14:conditionalFormatting>
        <x14:conditionalFormatting xmlns:xm="http://schemas.microsoft.com/office/excel/2006/main">
          <x14:cfRule type="expression" priority="1" id="{00FC0063-006C-4AC8-A429-00990050004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E2:F235</xm:sqref>
        </x14:conditionalFormatting>
        <x14:conditionalFormatting xmlns:xm="http://schemas.microsoft.com/office/excel/2006/main">
          <x14:cfRule type="expression" priority="1" id="{00AA009F-0082-479E-8BB2-009C00EE00BB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F48</xm:sqref>
        </x14:conditionalFormatting>
        <x14:conditionalFormatting xmlns:xm="http://schemas.microsoft.com/office/excel/2006/main">
          <x14:cfRule type="expression" priority="1" id="{00880026-007E-4AEB-A18E-007400DD00D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F48</xm:sqref>
        </x14:conditionalFormatting>
        <x14:conditionalFormatting xmlns:xm="http://schemas.microsoft.com/office/excel/2006/main">
          <x14:cfRule type="expression" priority="1" id="{004C00D1-0056-4809-9460-00B7004D004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F48</xm:sqref>
        </x14:conditionalFormatting>
        <x14:conditionalFormatting xmlns:xm="http://schemas.microsoft.com/office/excel/2006/main">
          <x14:cfRule type="expression" priority="1" id="{0092006B-009D-40D6-BD8A-003A006A00A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F48</xm:sqref>
        </x14:conditionalFormatting>
        <x14:conditionalFormatting xmlns:xm="http://schemas.microsoft.com/office/excel/2006/main">
          <x14:cfRule type="expression" priority="1" id="{006500D4-00CF-4789-B9E3-002F0007008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F60</xm:sqref>
        </x14:conditionalFormatting>
        <x14:conditionalFormatting xmlns:xm="http://schemas.microsoft.com/office/excel/2006/main">
          <x14:cfRule type="expression" priority="1" id="{0008001F-0088-45C6-892B-0062004800A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F60</xm:sqref>
        </x14:conditionalFormatting>
        <x14:conditionalFormatting xmlns:xm="http://schemas.microsoft.com/office/excel/2006/main">
          <x14:cfRule type="expression" priority="1" id="{00D3002A-00BB-4B2D-BC2F-00EA00D600D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F60</xm:sqref>
        </x14:conditionalFormatting>
        <x14:conditionalFormatting xmlns:xm="http://schemas.microsoft.com/office/excel/2006/main">
          <x14:cfRule type="expression" priority="1" id="{008E008E-00AD-4902-9CF5-00420064002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F60</xm:sqref>
        </x14:conditionalFormatting>
        <x14:conditionalFormatting xmlns:xm="http://schemas.microsoft.com/office/excel/2006/main">
          <x14:cfRule type="expression" priority="1" id="{003900A4-008C-458D-83FC-00B800BE00B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E9</xm:sqref>
        </x14:conditionalFormatting>
        <x14:conditionalFormatting xmlns:xm="http://schemas.microsoft.com/office/excel/2006/main">
          <x14:cfRule type="expression" priority="1" id="{006400A3-00F0-448F-9F84-00D0000600D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E13</xm:sqref>
        </x14:conditionalFormatting>
        <x14:conditionalFormatting xmlns:xm="http://schemas.microsoft.com/office/excel/2006/main">
          <x14:cfRule type="expression" priority="1" id="{006E00C7-006D-4D48-93C9-0043008D00C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E15</xm:sqref>
        </x14:conditionalFormatting>
        <x14:conditionalFormatting xmlns:xm="http://schemas.microsoft.com/office/excel/2006/main">
          <x14:cfRule type="expression" priority="1" id="{006C0062-00F9-42B7-BBE3-006B000900D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E24</xm:sqref>
        </x14:conditionalFormatting>
        <x14:conditionalFormatting xmlns:xm="http://schemas.microsoft.com/office/excel/2006/main">
          <x14:cfRule type="expression" priority="1" id="{007A007D-004E-47A6-95A0-00AA001A00B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E28</xm:sqref>
        </x14:conditionalFormatting>
        <x14:conditionalFormatting xmlns:xm="http://schemas.microsoft.com/office/excel/2006/main">
          <x14:cfRule type="expression" priority="1" id="{00040048-00B8-423E-9862-0015004E005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E87</xm:sqref>
        </x14:conditionalFormatting>
        <x14:conditionalFormatting xmlns:xm="http://schemas.microsoft.com/office/excel/2006/main">
          <x14:cfRule type="expression" priority="1" id="{00CB00FC-00BF-4DF9-8A36-00F8008B004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E94</xm:sqref>
        </x14:conditionalFormatting>
        <x14:conditionalFormatting xmlns:xm="http://schemas.microsoft.com/office/excel/2006/main">
          <x14:cfRule type="expression" priority="1" id="{001800EB-0001-4461-B3DC-009F006700C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E146</xm:sqref>
        </x14:conditionalFormatting>
        <x14:conditionalFormatting xmlns:xm="http://schemas.microsoft.com/office/excel/2006/main">
          <x14:cfRule type="expression" priority="1" id="{0039003B-00DA-4BE4-A73E-005D0096001B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F36</xm:sqref>
        </x14:conditionalFormatting>
        <x14:conditionalFormatting xmlns:xm="http://schemas.microsoft.com/office/excel/2006/main">
          <x14:cfRule type="expression" priority="1" id="{004F006B-0066-4209-9EF3-001D0051002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F36</xm:sqref>
        </x14:conditionalFormatting>
        <x14:conditionalFormatting xmlns:xm="http://schemas.microsoft.com/office/excel/2006/main">
          <x14:cfRule type="expression" priority="1" id="{00EA00B5-00D9-4322-9CCE-00DD006300F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expression" priority="1" id="{007000BA-0055-4755-A5D2-006A0054004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H36</xm:sqref>
        </x14:conditionalFormatting>
        <x14:conditionalFormatting xmlns:xm="http://schemas.microsoft.com/office/excel/2006/main">
          <x14:cfRule type="expression" priority="1" id="{001A0009-006D-40F2-B043-0031001700EB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H14</xm:sqref>
        </x14:conditionalFormatting>
        <x14:conditionalFormatting xmlns:xm="http://schemas.microsoft.com/office/excel/2006/main">
          <x14:cfRule type="expression" priority="1" id="{007E0016-00EC-4B8D-BEF8-0081002700B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H14</xm:sqref>
        </x14:conditionalFormatting>
        <x14:conditionalFormatting xmlns:xm="http://schemas.microsoft.com/office/excel/2006/main">
          <x14:cfRule type="expression" priority="1" id="{000E005B-001E-4DCD-BA77-006900F3004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E201:F201</xm:sqref>
        </x14:conditionalFormatting>
        <x14:conditionalFormatting xmlns:xm="http://schemas.microsoft.com/office/excel/2006/main">
          <x14:cfRule type="expression" priority="1" id="{00060039-006A-401B-ADB1-00B000C5007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E227</xm:sqref>
        </x14:conditionalFormatting>
        <x14:conditionalFormatting xmlns:xm="http://schemas.microsoft.com/office/excel/2006/main">
          <x14:cfRule type="expression" priority="1" id="{0095008E-00E0-46D7-9F3D-00D6006A008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F36</xm:sqref>
        </x14:conditionalFormatting>
        <x14:conditionalFormatting xmlns:xm="http://schemas.microsoft.com/office/excel/2006/main">
          <x14:cfRule type="expression" priority="1" id="{004A0012-0073-4AFB-B3FF-005D000F000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F36</xm:sqref>
        </x14:conditionalFormatting>
        <x14:conditionalFormatting xmlns:xm="http://schemas.microsoft.com/office/excel/2006/main">
          <x14:cfRule type="expression" priority="1" id="{000D0042-0017-4A9A-B7EC-00BB007B006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F36</xm:sqref>
        </x14:conditionalFormatting>
        <x14:conditionalFormatting xmlns:xm="http://schemas.microsoft.com/office/excel/2006/main">
          <x14:cfRule type="expression" priority="1" id="{00DE00FE-000E-465C-8BD0-00D500F200D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E37</xm:sqref>
        </x14:conditionalFormatting>
        <x14:conditionalFormatting xmlns:xm="http://schemas.microsoft.com/office/excel/2006/main">
          <x14:cfRule type="expression" priority="1" id="{00BB00E6-00E1-4AB4-9F8E-005200D4007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E44</xm:sqref>
        </x14:conditionalFormatting>
        <x14:conditionalFormatting xmlns:xm="http://schemas.microsoft.com/office/excel/2006/main">
          <x14:cfRule type="expression" priority="1" id="{001D0036-0062-42B6-9A65-004F004300F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E74</xm:sqref>
        </x14:conditionalFormatting>
        <x14:conditionalFormatting xmlns:xm="http://schemas.microsoft.com/office/excel/2006/main">
          <x14:cfRule type="expression" priority="1" id="{00E50084-0093-4F09-96BD-005100F200DD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E114</xm:sqref>
        </x14:conditionalFormatting>
        <x14:conditionalFormatting xmlns:xm="http://schemas.microsoft.com/office/excel/2006/main">
          <x14:cfRule type="expression" priority="1" id="{00E100C0-00DB-4368-A674-00DD005A008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E129</xm:sqref>
        </x14:conditionalFormatting>
        <x14:conditionalFormatting xmlns:xm="http://schemas.microsoft.com/office/excel/2006/main">
          <x14:cfRule type="expression" priority="1" id="{00E4001F-0018-44F4-99C5-0032001300A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E150</xm:sqref>
        </x14:conditionalFormatting>
        <x14:conditionalFormatting xmlns:xm="http://schemas.microsoft.com/office/excel/2006/main">
          <x14:cfRule type="expression" priority="1" id="{00AE002F-0007-4DD1-95AE-00D0006F005B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E196</xm:sqref>
        </x14:conditionalFormatting>
        <x14:conditionalFormatting xmlns:xm="http://schemas.microsoft.com/office/excel/2006/main">
          <x14:cfRule type="expression" priority="1" id="{009900E7-00AA-4414-B844-0026008000F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E202</xm:sqref>
        </x14:conditionalFormatting>
        <x14:conditionalFormatting xmlns:xm="http://schemas.microsoft.com/office/excel/2006/main">
          <x14:cfRule type="expression" priority="1" id="{004F004E-003C-419F-A424-007B00C4000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E216</xm:sqref>
        </x14:conditionalFormatting>
        <x14:conditionalFormatting xmlns:xm="http://schemas.microsoft.com/office/excel/2006/main">
          <x14:cfRule type="expression" priority="1" id="{00F30027-00D2-4898-B903-00B30080004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E223</xm:sqref>
        </x14:conditionalFormatting>
        <x14:conditionalFormatting xmlns:xm="http://schemas.microsoft.com/office/excel/2006/main">
          <x14:cfRule type="expression" priority="1" id="{00F800C1-0034-41FF-B328-000500F8004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F37</xm:sqref>
        </x14:conditionalFormatting>
        <x14:conditionalFormatting xmlns:xm="http://schemas.microsoft.com/office/excel/2006/main">
          <x14:cfRule type="expression" priority="1" id="{00960062-00E1-4091-807C-00FA00E700B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F74</xm:sqref>
        </x14:conditionalFormatting>
        <x14:conditionalFormatting xmlns:xm="http://schemas.microsoft.com/office/excel/2006/main">
          <x14:cfRule type="expression" priority="1" id="{00680094-0051-4819-8371-000300DD00A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F116</xm:sqref>
        </x14:conditionalFormatting>
        <x14:conditionalFormatting xmlns:xm="http://schemas.microsoft.com/office/excel/2006/main">
          <x14:cfRule type="expression" priority="1" id="{005B005E-00D3-4E1A-8A35-00AB004700D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F150</xm:sqref>
        </x14:conditionalFormatting>
        <x14:conditionalFormatting xmlns:xm="http://schemas.microsoft.com/office/excel/2006/main">
          <x14:cfRule type="expression" priority="1" id="{004B00C2-002F-4B97-94EF-006E006300CB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F202</xm:sqref>
        </x14:conditionalFormatting>
        <x14:conditionalFormatting xmlns:xm="http://schemas.microsoft.com/office/excel/2006/main">
          <x14:cfRule type="expression" priority="1" id="{0043003D-0076-449D-AC43-001400BC001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F223</xm:sqref>
        </x14:conditionalFormatting>
        <x14:conditionalFormatting xmlns:xm="http://schemas.microsoft.com/office/excel/2006/main">
          <x14:cfRule type="expression" priority="1" id="{006400D5-001D-4092-B87E-00890040005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1F00DA-002C-4854-BB92-00CE0081006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8D0072-00AB-4D77-A66F-00E90048008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4F0048-0072-48FC-A65E-00350086006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5300A9-0092-47EE-AABC-00BC00D100B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330086-00AD-4FA4-B91D-00D20077001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8100FA-00CC-401A-B5AA-005A006F00F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55009D-00CD-4FA2-8153-0085002F005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FF00E0-0043-49EC-8644-009A005A009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550092-00EC-4860-85A5-006600B300B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0A00F6-00BD-4DB8-B6B2-00C200EC005B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E700E3-00F5-4E49-ACD2-0058007B00E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7B003A-0055-40C0-825A-0074007D004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E700BD-006B-438C-8D4A-00D900A0000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290019-0052-453D-80C9-005C0080005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B600FE-009B-4367-AEA3-00B8007100C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D00054-002C-44C8-8B73-00F20073001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F10041-00F5-4D99-A03F-0038002E00CD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BE00DC-001A-41F0-9C3D-0000009D007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4800A9-00D3-4C2F-90D4-00D50094008B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9400DE-0076-4BC7-9EBC-0022009B004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81002F-002F-470C-9EE7-00EE001600A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D5007A-0010-4749-BA3B-0034002F00C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69001C-0070-4F23-A6B9-00C7004F00A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590067-0056-4DB4-93F6-0078003E000B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5100FA-00C6-4084-8A05-00970055006D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E20014-0088-4B3E-BEF8-000D002E00F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570064-00D2-434C-8BCD-00B600DB00D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9F001D-0092-4C32-9661-002A00DC001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7000BD-0013-467A-9BB7-001800B400E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2A0062-00C3-4152-A7F8-00AF00CA004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FA0042-0088-4CEA-9115-00240018009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E60036-00DC-46FE-811C-00BF006C006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A3007B-000F-4762-8B4A-0052004F009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8C0056-0086-47ED-BDA6-0023002A00D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670083-00B8-4303-AF48-0076007A009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B00009-0035-451F-8C5F-00FE0042002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440089-0037-4F6A-A071-00BB005B008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D100DB-00C6-4C33-9F20-007000AD006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2F00AB-00DE-4D0A-91D6-005A0051004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6200EF-005C-43DE-ADF6-005200A9002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430066-00D2-4EE2-88CB-004800AB00B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DC0083-006D-409C-8892-009200D6007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DC00F8-00CB-42BC-BB33-002000DE00B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5E00B5-000B-47A6-82A6-001C004A007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4F00DC-00E6-40D0-A0B4-008000FE00B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9B0034-0084-41DC-A934-0001006E00B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9400FB-005C-471F-9FCD-00640054006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D900AB-009C-4322-97A9-00E7001700A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CD00B9-004D-4011-B55E-0071002B009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A10033-0059-4B3F-BEC5-002500BA00B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990061-00BB-4CF3-ADFF-00C0009700A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7F00CD-0091-4DE5-A25C-00E6004800D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48009A-00A3-4C8C-AAD6-00EA003F00B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C7003E-0013-4A19-9C4C-00E000BF005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8B0037-00F6-4DB9-B999-009400FE00A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6B00A3-004D-4CAF-BBBB-0080001D003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8E0061-00D3-4830-9B16-0039008D008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000073-006A-4155-8500-002B0042009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3C00AD-00D4-49FD-936E-009D0007006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07000C-0002-447B-B74C-005F002D00F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AC004E-0082-4519-8BAC-00200045008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4C0019-00CB-4EE4-B14E-0058007A00C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7D000C-001C-428B-94C7-006E00B700D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FD00CC-002B-4E6E-9AF6-001E006B004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320035-000C-4F6E-8440-00BD00EC007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2B00B6-0065-4A58-B28E-004C008D008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8A0025-0007-4041-9E06-00FB0025001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DF00DE-001B-426F-9DD0-004F0044007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2D00A8-009E-43A7-BF72-0069009B000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7600AF-004E-455A-B8AE-009700F4002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24003E-0044-44B1-B732-001E00AA007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B000D6-00E2-42A8-A874-0004008D008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0A0053-00CE-43DE-8AB2-0026003F007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AB0093-003E-4638-B3EB-008E00EA00C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7E00BE-009E-4FF6-ABA5-005F00B200E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230084-004B-48A5-9D2C-007500C2002B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3B0073-009B-4078-AAB0-004800AA008B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28006A-00EC-453F-92EA-00580001008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930012-0080-4367-87FE-00C200C9009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5D000A-00EB-4AD2-9679-00670087004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740049-0039-45EE-8F38-00C60053009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2B00A2-009D-4B8D-B44E-003300A1003B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270061-00D1-4EE4-8061-00BF0064006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480088-0019-49B3-84A2-000E00C8005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C300CF-009E-4588-AF95-0055004F006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0500F9-00E0-459F-95C2-003E0002004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E20050-0034-468A-95F2-00D300B8004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E400F7-0096-4778-8A62-000D005F00F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2B0031-000D-4CEB-96C1-003E004D00E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9400B4-00F2-494F-9976-00F9006F000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B80017-000E-40BC-B218-00BE008700A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9F00C9-005F-44BA-82EC-00680024006D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2500C3-003E-4D15-874C-000D000800A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590091-0087-4DAE-A9DF-00D300BC00AD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CB0083-00A4-4B5D-82B7-008D004F000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F70023-007A-434B-B865-00B000EB00C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1B00BC-0053-416E-B4C1-008F0030008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260017-00A8-4E17-AB1F-00170090000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120020-0075-4949-84AD-00F100A400F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CC00A3-00B8-4D4A-848B-009500D0006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950071-0020-4A85-858D-0064003200E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2900EE-006A-4D31-B371-0053008900B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B50069-009E-4655-9BBF-007E00E0000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A00085-0004-43B7-8F26-006100FF006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BA0051-0068-4E0A-BC8B-00F600E9003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1C004B-0071-4A0E-988F-008200A400F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D6005B-00DD-4767-A1E5-007400C9005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F70034-0014-40C0-B5A7-008F00BC00D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8300C2-0004-4992-8B0D-00B3002A00F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0700D2-00F1-4EB6-A987-00A6004500A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0000F8-0008-4424-82F8-00AD004600BB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9A007C-00C8-469C-A68E-0094008700C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E14</xm:sqref>
        </x14:conditionalFormatting>
        <x14:conditionalFormatting xmlns:xm="http://schemas.microsoft.com/office/excel/2006/main">
          <x14:cfRule type="expression" priority="1" id="{00DB0009-0064-4B33-BF98-00A2002F00F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F12</xm:sqref>
        </x14:conditionalFormatting>
        <x14:conditionalFormatting xmlns:xm="http://schemas.microsoft.com/office/excel/2006/main">
          <x14:cfRule type="expression" priority="1" id="{005B0066-0064-4DA0-9122-009100AF00A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</xm:sqref>
        </x14:conditionalFormatting>
        <x14:conditionalFormatting xmlns:xm="http://schemas.microsoft.com/office/excel/2006/main">
          <x14:cfRule type="expression" priority="1" id="{00E100CF-0076-421C-9D66-007E001300A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expression" priority="1" id="{001F0034-00E3-4C2C-AE2A-0066006300F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E13</xm:sqref>
        </x14:conditionalFormatting>
        <x14:conditionalFormatting xmlns:xm="http://schemas.microsoft.com/office/excel/2006/main">
          <x14:cfRule type="expression" priority="1" id="{00E40021-00AD-463A-B5DC-00A400D6001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E15</xm:sqref>
        </x14:conditionalFormatting>
        <x14:conditionalFormatting xmlns:xm="http://schemas.microsoft.com/office/excel/2006/main">
          <x14:cfRule type="expression" priority="1" id="{00C10058-00AA-4817-9796-004300B3005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E20</xm:sqref>
        </x14:conditionalFormatting>
        <x14:conditionalFormatting xmlns:xm="http://schemas.microsoft.com/office/excel/2006/main">
          <x14:cfRule type="expression" priority="1" id="{004B00BA-005F-474D-8E31-009000D600BD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E30</xm:sqref>
        </x14:conditionalFormatting>
        <x14:conditionalFormatting xmlns:xm="http://schemas.microsoft.com/office/excel/2006/main">
          <x14:cfRule type="expression" priority="1" id="{0016000D-0019-4804-83D4-00E5002100C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E36</xm:sqref>
        </x14:conditionalFormatting>
        <x14:conditionalFormatting xmlns:xm="http://schemas.microsoft.com/office/excel/2006/main">
          <x14:cfRule type="expression" priority="1" id="{00BC000D-007E-4F5F-B6A5-005C00B200E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F20</xm:sqref>
        </x14:conditionalFormatting>
        <x14:conditionalFormatting xmlns:xm="http://schemas.microsoft.com/office/excel/2006/main">
          <x14:cfRule type="expression" priority="1" id="{00B80009-0011-40FB-9FDB-00B90051003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F20</xm:sqref>
        </x14:conditionalFormatting>
        <x14:conditionalFormatting xmlns:xm="http://schemas.microsoft.com/office/excel/2006/main">
          <x14:cfRule type="expression" priority="1" id="{00BB0080-004C-48F8-9D25-0092009900E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F20</xm:sqref>
        </x14:conditionalFormatting>
        <x14:conditionalFormatting xmlns:xm="http://schemas.microsoft.com/office/excel/2006/main">
          <x14:cfRule type="expression" priority="1" id="{006D0088-00B7-4C7E-9858-00A90065006D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F48</xm:sqref>
        </x14:conditionalFormatting>
        <x14:conditionalFormatting xmlns:xm="http://schemas.microsoft.com/office/excel/2006/main">
          <x14:cfRule type="expression" priority="1" id="{00930084-00A4-4A62-9B00-009600E4006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E46</xm:sqref>
        </x14:conditionalFormatting>
        <x14:conditionalFormatting xmlns:xm="http://schemas.microsoft.com/office/excel/2006/main">
          <x14:cfRule type="expression" priority="1" id="{003700A8-00E5-404F-998A-00DB003D00F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E47</xm:sqref>
        </x14:conditionalFormatting>
        <x14:conditionalFormatting xmlns:xm="http://schemas.microsoft.com/office/excel/2006/main">
          <x14:cfRule type="expression" priority="1" id="{00F40032-00EC-4E87-AD1D-006C003A007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FB003C-00EE-4E92-A0FD-006600DB005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6B00C8-0048-4676-B28B-00C400D200D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07000C-0004-4689-926C-005B00A4008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B500BA-00B0-4F64-A7E2-007E0078003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E0001A-00C0-4B0E-99B7-00840020008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AC0074-00DE-4226-B6F2-001500DE009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120012-008D-49D4-9260-008100D0008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CD001E-0092-4141-BB03-00D80091000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F500A0-0006-4F62-8A3B-00EC00A200B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1600B7-0072-4894-B49C-00FE00B600E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CB0029-0033-47C6-9FE0-00210038004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4500D3-0053-4693-BAE4-0035000100C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A9004D-00A5-4BC5-8BEE-000500BF00F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000005-006B-49BE-8A75-00B4004B005B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1E0035-0040-455A-92DE-0017002600A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B30019-00F8-47BD-B50A-0024006A004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1F0026-0059-41C3-A46C-000C001E00B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E90063-0014-4745-BA3B-000E00DA00A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FB00B3-0087-4BBA-8015-0052007A003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870062-00E8-43CF-A8FF-00CF00D700F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6D00E9-002A-41C8-B883-0004006E000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460033-0033-450B-A29A-00D000F7000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FF0064-008D-400D-BBDC-00DA008600A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2200BB-0010-461C-A3C7-00AE0033006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EF00B4-00D5-48EA-931D-00EC00BF007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65001E-006D-40B7-9235-0039008400CD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EB00FF-0032-4486-8CE0-00CE00F900F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3D00A4-00DB-47BE-A949-002000AD006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330074-0038-4666-A8B3-00840090009B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0D00D9-002A-451A-98DA-000B00AD00B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3E0095-000D-45D9-BB8A-000E00A7002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2B00B6-0064-4E90-B356-00C000B500BB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2E008D-0024-4872-BF74-00B0003A00F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E600FA-007A-47C3-A142-00A1009900D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D00039-0024-4015-9242-008F0008002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510095-00FF-4C5D-9F7F-004900F900D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3C00D9-0039-4B6A-9E7E-00AC00460039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17007B-0023-47F5-B5BC-0029007B00D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090011-004A-4F2F-ACB1-0011000B002B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9300F2-0008-465A-B4C2-0073005A004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AA00F5-0018-4CD7-82A4-003F009E004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6C00A0-00BB-4941-838F-003F001E009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3F00FE-00BE-4EFC-A8BC-00AD00B100C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C80006-00D2-437A-B2DB-00E00071001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F100F1-0077-405D-BC74-00810045007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B20043-001A-49EC-8670-007A0031009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C70007-00A6-46AE-81E5-00A700F000CB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29005A-003F-47B9-A1D5-003900E7001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E800D3-0062-4F52-8029-007000DB008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320031-0002-4B67-B43D-00BF004D009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960068-0001-4D7E-AD3E-00FA00D800F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6600CA-0081-45E1-A80F-002700A200E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2F0097-001B-499C-B1DA-0048003A005D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4C0001-00DF-4459-8EA2-00AE0056006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E400CC-0056-45FC-960B-00ED00FB00B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D2003F-004F-4375-AAAD-008500F400F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0A0056-0019-40A2-BBD7-00820087008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9C0015-00DB-45E4-A873-00D90004007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5000B7-009F-4D58-A3D9-00D2000200D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1600DB-0069-4F8C-88B4-002A003D009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E6009E-0093-4276-9A10-003D005D00F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290017-00C4-4E52-939B-00AF0077009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1C0070-00B3-4189-95CC-00FC00EA00C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F40093-00FF-4203-B672-0024009A00F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FB00B9-0026-4263-B172-008800D0005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F40019-008E-412D-B551-00760069009D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B9001D-0084-46C8-89FC-00140015007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9D0016-00C9-4141-B5CC-00360041001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6100F8-002A-4AC4-AC4A-0070009E009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7500B5-006A-4BFD-B439-0051006F009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6B0001-0093-414D-9BB7-007600C9007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9A00B3-00A2-4600-B2B4-008C003700D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E00066-0090-444D-9EA8-00980023004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A10071-0056-4722-BFBB-00A100B700F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4F00D7-00EA-497A-ADA0-00E900E7001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4600BC-0017-4306-8DF4-00640063002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E40069-00B1-4FE5-AC2A-004B0054003B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7F002C-0052-4460-99B3-00E1000A006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210003-00C2-4D00-A979-00EB0015003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BA0072-0000-407F-8ED7-00430068002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D6001E-00AC-426E-87F6-004300BD005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8B0095-008D-4851-9572-006100FF00B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6700C4-0043-4442-97D2-0040008000A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5C00E5-0005-4207-B529-0093000700AB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8A0006-00B3-4AD4-B3DB-0095002800C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97008F-0035-41F4-AEAA-00A0006700B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BE005F-00FD-4613-A9A5-003900CF00B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B90068-00CF-43F7-8356-00E900F2000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640056-00EF-4DB1-A5CA-00E900FE00F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E200E2-00F7-402C-A134-006800F7005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1E0098-0038-4119-83BA-00D9001C00C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4800DA-0093-4751-A87F-002B0082002A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0A00A7-006B-47B3-9223-001400C3009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CD0070-0038-4A06-9698-0055000F006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AD008C-0040-4682-82CC-00A7004A005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DC005B-00A9-414A-BDD9-00CE00B700C2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3D0029-00C6-45DB-A663-001F0070006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0B00A9-003C-4CB7-B643-00CB007F00D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5200B5-0004-4890-A86F-00780050008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9900E2-00C1-412D-95E4-0065008400BB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9C0049-00E2-48C7-8699-00B90001003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D60023-0020-4C50-AF2E-00770014006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5C0054-0094-4EA0-81BF-00DF009C0071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AB00DF-0044-467A-90CE-006200B9001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DC00A8-0000-4E7A-97C3-00B70098004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B1003C-0018-4A40-AE55-00F4001F001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C800B0-0006-48AF-BCFA-00B2001B00B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9B00E6-00EC-4956-A90D-000D001200C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B300DB-004F-4F9E-831A-00A7009D008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9B0060-0054-40E7-B0F2-001800CF006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D900E7-00A0-4119-B480-00F00012006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6500A5-00F9-46E1-A86A-001300F400B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0B00E8-003F-409C-984A-0064004C0097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C40092-001A-4D55-BCBE-00BA0000000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D5001E-00CA-4322-8A63-00E30082002C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C20005-0084-452B-8DA2-00DF003200B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B80077-00DF-4FA9-B36C-00F7006A00D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7800F9-0041-474B-91E9-00AF003100E0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6600BB-00DC-4AA7-A208-00BD00DD00C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EE00FC-000C-401E-83A8-0006009A000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B300D8-00D2-48D3-B21C-005B00F30076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8B00C7-00E1-48C8-9C81-00E800870004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6F00CC-002B-4361-B23C-0070008500BE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B2:C2</xm:sqref>
        </x14:conditionalFormatting>
        <x14:conditionalFormatting xmlns:xm="http://schemas.microsoft.com/office/excel/2006/main">
          <x14:cfRule type="expression" priority="1" id="{005500D2-00A4-46DF-BAC6-00A800D300C5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03001E-004C-40FF-84A4-0074002D0098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A60026-001A-42E7-8B1D-0053000600D3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expression" priority="1" id="{0088006F-00D8-43C2-8073-000C0097009F}">
            <xm:f>MOD($O2,2)=0</xm:f>
            <x14:dxf>
              <fill>
                <patternFill patternType="solid">
                  <fgColor theme="0" tint="-0.14996795556505021"/>
                  <bgColor theme="0" tint="-0.14996795556505021"/>
                </patternFill>
              </fill>
            </x14:dxf>
          </x14:cfRule>
          <xm:sqref>C2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Oksana Podoba</dc:creator>
  <cp:keywords/>
  <dc:description/>
  <cp:revision>18</cp:revision>
  <dcterms:created xsi:type="dcterms:W3CDTF">2022-09-26T16:02:08Z</dcterms:created>
  <dcterms:modified xsi:type="dcterms:W3CDTF">2024-12-18T14:51:08Z</dcterms:modified>
  <cp:category/>
  <cp:contentStatus/>
</cp:coreProperties>
</file>