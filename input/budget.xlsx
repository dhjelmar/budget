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onnections.xml" ContentType="application/vnd.openxmlformats-officedocument.spreadsheetml.connection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3"/>
  </sheets>
  <externalReferences>
    <externalReference r:id="rId1"/>
  </externalReferences>
  <definedNames>
    <definedName name="_xlnm._FilterDatabase" localSheetId="0" hidden="1">Sheet1!$A$1:$F$775</definedName>
    <definedName name="Print_Titles" localSheetId="0">Sheet1!$1:$1</definedName>
    <definedName name="_xlcn.WorksheetConnection_budget_2024.xlsxTable21" hidden="1">'[1]budget 11-01-23'!$A$1:$M$198</definedName>
    <definedName name="_xlcn.WorksheetConnection_budget_2024.xlsxTable31" hidden="1">Table1</definedName>
    <definedName name="_xlnm._FilterDatabase" localSheetId="0" hidden="1">Sheet1!$A$1:$F$775</definedName>
  </definedName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0502E-5DB4-478A-BC58-A3AF73520BE3}" keepAlive="1" name="ThisWorkbookDataModel" description="Data Model" type="5" background="1" minRefreshableVersion="5" refreshedVersion="8">
    <dbPr connection="Data Model Connection" command="Model" commandType="1"/>
    <olapPr rowDrillCount="1000" sendLocale="1"/>
  </connection>
  <connection id="2" xr16:uid="{FE2DD38A-3F91-47BB-8FD4-88ACDF0CE342}" name="WorksheetConnection_budget_2024.xlsx!Table2" type="102" minRefreshableVersion="5" refreshedVersion="8">
    <extLst>
      <ext xmlns:x15="http://schemas.microsoft.com/office/spreadsheetml/2010/11/main" uri="{DE250136-89BD-433C-8126-D09CA5730AF9}">
        <x15:connection id="Table2">
          <x15:rangePr sourceName="_xlcn.WorksheetConnection_budget_2024.xlsxTable21"/>
        </x15:connection>
      </ext>
    </extLst>
  </connection>
  <connection id="3" xr16:uid="{2202441F-1020-42E7-A9A4-13A4F9EC4EDA}" name="WorksheetConnection_budget_2024.xlsx!Table3" type="102" minRefreshableVersion="5" refreshedVersion="8">
    <extLst>
      <ext xmlns:x15="http://schemas.microsoft.com/office/spreadsheetml/2010/11/main" uri="{DE250136-89BD-433C-8126-D09CA5730AF9}">
        <x15:connection id="Table3">
          <x15:rangePr sourceName="_xlcn.WorksheetConnection_budget_2024.xlsxTable31"/>
        </x15:connection>
      </ext>
    </extLst>
  </connection>
</connections>
</file>

<file path=xl/sharedStrings.xml><?xml version="1.0" encoding="utf-8"?>
<sst xmlns="http://schemas.openxmlformats.org/spreadsheetml/2006/main" count="309" uniqueCount="309">
  <si>
    <t>Year</t>
  </si>
  <si>
    <t>InOrOut</t>
  </si>
  <si>
    <t>Category</t>
  </si>
  <si>
    <t>Account</t>
  </si>
  <si>
    <t>Budget</t>
  </si>
  <si>
    <t>In</t>
  </si>
  <si>
    <t>Contributions</t>
  </si>
  <si>
    <t xml:space="preserve">4001 Classis Assessments</t>
  </si>
  <si>
    <t xml:space="preserve">4010 Current Year Pledges</t>
  </si>
  <si>
    <t xml:space="preserve">4012 Non Pledge Contributions</t>
  </si>
  <si>
    <t xml:space="preserve">4013 Vespers Offering</t>
  </si>
  <si>
    <t xml:space="preserve">4017 Special Offerings</t>
  </si>
  <si>
    <t xml:space="preserve">4021 Charitable Distributions</t>
  </si>
  <si>
    <t xml:space="preserve">4023 Online Giving Contribution</t>
  </si>
  <si>
    <t xml:space="preserve">4025 Concert Series</t>
  </si>
  <si>
    <t>Covenant</t>
  </si>
  <si>
    <t xml:space="preserve">4022 Wednesday Lunch</t>
  </si>
  <si>
    <t xml:space="preserve">4026 Audio/Visual Technology</t>
  </si>
  <si>
    <t xml:space="preserve">4061 McDonald (Covenant)</t>
  </si>
  <si>
    <t xml:space="preserve">4062 Covenant Fund Income</t>
  </si>
  <si>
    <t xml:space="preserve">4063 Covenant Income for M&amp;B</t>
  </si>
  <si>
    <t xml:space="preserve">Investment Income</t>
  </si>
  <si>
    <t xml:space="preserve">4027 Checking Account</t>
  </si>
  <si>
    <t xml:space="preserve">4041 Endowment Income</t>
  </si>
  <si>
    <t xml:space="preserve">4043 Schermerhorn Income</t>
  </si>
  <si>
    <t xml:space="preserve">4044 Birch Income</t>
  </si>
  <si>
    <t xml:space="preserve">4045 UP Mission Fund Income</t>
  </si>
  <si>
    <t xml:space="preserve">4049 Tercentenary Income</t>
  </si>
  <si>
    <t xml:space="preserve">Other income</t>
  </si>
  <si>
    <t xml:space="preserve">4052 Facility Use Income</t>
  </si>
  <si>
    <t xml:space="preserve">4053 Misc Income</t>
  </si>
  <si>
    <t xml:space="preserve">4054 Rental Income</t>
  </si>
  <si>
    <t xml:space="preserve">4055 Flowers income</t>
  </si>
  <si>
    <t xml:space="preserve">4056 Chancel Guild Income/Cook Trust</t>
  </si>
  <si>
    <t xml:space="preserve">xxxx Sr. High Youth mission trip (new)</t>
  </si>
  <si>
    <t>Out</t>
  </si>
  <si>
    <t>Administration</t>
  </si>
  <si>
    <t xml:space="preserve">9005 Computer Maint/Repair/Internet</t>
  </si>
  <si>
    <t xml:space="preserve">9007 Audio Visual Contract Services</t>
  </si>
  <si>
    <t xml:space="preserve">9010 Consistory Expense</t>
  </si>
  <si>
    <t xml:space="preserve">9015 Copier/Cannon rent./Maint.</t>
  </si>
  <si>
    <t xml:space="preserve">9020 Equipment</t>
  </si>
  <si>
    <t xml:space="preserve">9025 Office Supplies</t>
  </si>
  <si>
    <t xml:space="preserve">9030 Other Admin Expense</t>
  </si>
  <si>
    <t xml:space="preserve">9035 Paper</t>
  </si>
  <si>
    <t xml:space="preserve">9040 Postage</t>
  </si>
  <si>
    <t xml:space="preserve">9045 Printing</t>
  </si>
  <si>
    <t xml:space="preserve">9055 Staff Searches</t>
  </si>
  <si>
    <t xml:space="preserve">9060 Telephone &amp; Internet</t>
  </si>
  <si>
    <t xml:space="preserve">9061 Contract Services/Zoom/Google...</t>
  </si>
  <si>
    <t xml:space="preserve">Administration Staff</t>
  </si>
  <si>
    <t xml:space="preserve">5002 FICA Administration</t>
  </si>
  <si>
    <t xml:space="preserve">5003 Wages Administration</t>
  </si>
  <si>
    <t xml:space="preserve">5004 Retirement Administration</t>
  </si>
  <si>
    <t xml:space="preserve">5005 Medical Administration</t>
  </si>
  <si>
    <t xml:space="preserve">5006 Continuing Education</t>
  </si>
  <si>
    <t xml:space="preserve">Adult Ed</t>
  </si>
  <si>
    <t xml:space="preserve">6410 Devotional Literature/Small groups Literature</t>
  </si>
  <si>
    <t xml:space="preserve">6420 Guest Spearkers and Adult Forum</t>
  </si>
  <si>
    <t xml:space="preserve">6430 Lenten Programming</t>
  </si>
  <si>
    <t xml:space="preserve">6440 Resources (Adult Ed.)</t>
  </si>
  <si>
    <t xml:space="preserve">6445 Adult Retreats and Workshops</t>
  </si>
  <si>
    <t xml:space="preserve">6450 Small Groups</t>
  </si>
  <si>
    <t>Archives</t>
  </si>
  <si>
    <t xml:space="preserve">8110 Archives &amp; Restoration</t>
  </si>
  <si>
    <t xml:space="preserve">8111 Four Chaplains(6 people)</t>
  </si>
  <si>
    <t xml:space="preserve">8125 Supplies Archives</t>
  </si>
  <si>
    <t xml:space="preserve">Care &amp; Support</t>
  </si>
  <si>
    <t xml:space="preserve">6505 Honorariums</t>
  </si>
  <si>
    <t xml:space="preserve">6515 Resources Grief Booklets</t>
  </si>
  <si>
    <t xml:space="preserve">6520 Care &amp; Support Materials</t>
  </si>
  <si>
    <t xml:space="preserve">6521 Prayer Shawl</t>
  </si>
  <si>
    <t xml:space="preserve">6522 Flowers Support &amp; Care</t>
  </si>
  <si>
    <t xml:space="preserve">Care &amp; Support Associate Pastor</t>
  </si>
  <si>
    <t xml:space="preserve">5051 Continuing Ed (Assoc Pastor)</t>
  </si>
  <si>
    <t xml:space="preserve">5053 Wages (Assoc Pastor)</t>
  </si>
  <si>
    <t xml:space="preserve">5054 Medical (Assoc Pastor)</t>
  </si>
  <si>
    <t xml:space="preserve">5055 Retirement (Assoc Pastor)</t>
  </si>
  <si>
    <t xml:space="preserve">5056 Social Security Offset (Assoc Pastor)</t>
  </si>
  <si>
    <t xml:space="preserve">5057 Business &amp; Auto (Assoc Pastor)</t>
  </si>
  <si>
    <t xml:space="preserve">5058 Housing Expense (Assoc Pastor)</t>
  </si>
  <si>
    <t xml:space="preserve">5059 Disability/Life (Assoc Pastor)</t>
  </si>
  <si>
    <t>Communications</t>
  </si>
  <si>
    <t xml:space="preserve">9111 Advertising</t>
  </si>
  <si>
    <t xml:space="preserve">9112 Website</t>
  </si>
  <si>
    <t xml:space="preserve">9113 Communication Technology</t>
  </si>
  <si>
    <t xml:space="preserve">9114 Volunteer Needs</t>
  </si>
  <si>
    <t xml:space="preserve">9115 Paper</t>
  </si>
  <si>
    <t xml:space="preserve">9116 Supplies (new)</t>
  </si>
  <si>
    <t xml:space="preserve">Communications Staff</t>
  </si>
  <si>
    <t xml:space="preserve">9121 Wages Communication Specialist</t>
  </si>
  <si>
    <t xml:space="preserve">9122 FICA Communication Specialist</t>
  </si>
  <si>
    <t xml:space="preserve">9123 Retirement Communication Speicalist</t>
  </si>
  <si>
    <t xml:space="preserve">9125 Continuing Education</t>
  </si>
  <si>
    <t xml:space="preserve">Covenant Fund</t>
  </si>
  <si>
    <t xml:space="preserve">6350 Other Covenant Programs</t>
  </si>
  <si>
    <t xml:space="preserve">Covenant Lunn</t>
  </si>
  <si>
    <t xml:space="preserve">6356 Lunn Office</t>
  </si>
  <si>
    <t xml:space="preserve">Creation Care</t>
  </si>
  <si>
    <t xml:space="preserve">6806 Composting</t>
  </si>
  <si>
    <t xml:space="preserve">6807 Supplies</t>
  </si>
  <si>
    <t xml:space="preserve">6808 Recycled Paper</t>
  </si>
  <si>
    <t xml:space="preserve">6809 Media</t>
  </si>
  <si>
    <t>Finance</t>
  </si>
  <si>
    <t xml:space="preserve">8005 Audit and Consulting</t>
  </si>
  <si>
    <t xml:space="preserve">8010 Classis Assessments</t>
  </si>
  <si>
    <t xml:space="preserve">8015 Insurance</t>
  </si>
  <si>
    <t xml:space="preserve">8020 Misc Finance</t>
  </si>
  <si>
    <t xml:space="preserve">8022 Finance Charge Online Giving</t>
  </si>
  <si>
    <t xml:space="preserve">8025 NYS Unemployment Insurance</t>
  </si>
  <si>
    <t xml:space="preserve">8030 Offering Envelopes</t>
  </si>
  <si>
    <t xml:space="preserve">8035 Payroll Processing</t>
  </si>
  <si>
    <t xml:space="preserve">8040 Stewardship</t>
  </si>
  <si>
    <t>Library</t>
  </si>
  <si>
    <t xml:space="preserve">6404 Period./Books/Newsp.for ass. pastor</t>
  </si>
  <si>
    <t xml:space="preserve">6405 Library Books</t>
  </si>
  <si>
    <t xml:space="preserve">6435 Library Periodicals &amp; Fees</t>
  </si>
  <si>
    <t xml:space="preserve">6460 Library Supplies &amp; Equipment</t>
  </si>
  <si>
    <t>M&amp;B</t>
  </si>
  <si>
    <t xml:space="preserve">6303 Undesignated and Emergency</t>
  </si>
  <si>
    <t xml:space="preserve">6305 Education (M&amp;B)</t>
  </si>
  <si>
    <t xml:space="preserve">6310 Local Concerns</t>
  </si>
  <si>
    <t xml:space="preserve">6315 National Oversseas</t>
  </si>
  <si>
    <t xml:space="preserve">6319 Minister Discretionary (Sr Pastor)</t>
  </si>
  <si>
    <t xml:space="preserve">6322 Ministers Discretionary (Assoc. Pastor)</t>
  </si>
  <si>
    <t xml:space="preserve">6323 Albany Synod Programs</t>
  </si>
  <si>
    <t xml:space="preserve">6324 Camp Fowler support (M&amp;B)</t>
  </si>
  <si>
    <t xml:space="preserve">6325 Special Offerings</t>
  </si>
  <si>
    <t xml:space="preserve">M&amp;B (UP Mission)</t>
  </si>
  <si>
    <t xml:space="preserve">6326 UP Mission</t>
  </si>
  <si>
    <t>Membership</t>
  </si>
  <si>
    <t xml:space="preserve">6605 Churchwide Social Events</t>
  </si>
  <si>
    <t xml:space="preserve">6610 Coffee Hour</t>
  </si>
  <si>
    <t xml:space="preserve">6620 Supplies Hospitality</t>
  </si>
  <si>
    <t xml:space="preserve">6705 Membership Committee</t>
  </si>
  <si>
    <t xml:space="preserve">Mission &amp; Volunteer</t>
  </si>
  <si>
    <t xml:space="preserve">6366 Wednesday Lunch</t>
  </si>
  <si>
    <t xml:space="preserve">6367 Mission &amp; Volunteer Expense</t>
  </si>
  <si>
    <t xml:space="preserve">6368 Kitchen supplies(new)</t>
  </si>
  <si>
    <t xml:space="preserve">6369 To Go Containers (new)</t>
  </si>
  <si>
    <t xml:space="preserve">Mission &amp; Volunteer Staff</t>
  </si>
  <si>
    <t xml:space="preserve">6373 Wages Lunch Coordinator</t>
  </si>
  <si>
    <t xml:space="preserve">6374 FICA Lunch Coordinator</t>
  </si>
  <si>
    <t>Property</t>
  </si>
  <si>
    <t xml:space="preserve">7001 Custodian Fee/Other serv. fee(new)</t>
  </si>
  <si>
    <t xml:space="preserve">7010 Electricity 10N Church</t>
  </si>
  <si>
    <t xml:space="preserve">7015 Electricity 12N Church</t>
  </si>
  <si>
    <t xml:space="preserve">7020 Electricity 8N Church</t>
  </si>
  <si>
    <t xml:space="preserve">7025 Electricity Parking Lot</t>
  </si>
  <si>
    <t xml:space="preserve">7030 Energy Improvements</t>
  </si>
  <si>
    <t xml:space="preserve">7035 Equipment (Maint.)</t>
  </si>
  <si>
    <t xml:space="preserve">7040 Fuel 10N Church</t>
  </si>
  <si>
    <t xml:space="preserve">7045 Fuel 12N Church</t>
  </si>
  <si>
    <t xml:space="preserve">7050 Fuel 8N Church</t>
  </si>
  <si>
    <t xml:space="preserve">7051 Solar 10 N Church</t>
  </si>
  <si>
    <t xml:space="preserve">7052 Solar 12N Church</t>
  </si>
  <si>
    <t xml:space="preserve">7053 Solar 8N Church</t>
  </si>
  <si>
    <t xml:space="preserve">7054 Solar Parking Lot</t>
  </si>
  <si>
    <t xml:space="preserve">7055 Grounds Upkeep</t>
  </si>
  <si>
    <t xml:space="preserve">7070 Misc Grounds Supplies</t>
  </si>
  <si>
    <t xml:space="preserve">7075 Regular Services</t>
  </si>
  <si>
    <t xml:space="preserve">7080 Repairs/Maint 10N Church</t>
  </si>
  <si>
    <t xml:space="preserve">7085 Repairs/Maint 12N Church</t>
  </si>
  <si>
    <t xml:space="preserve">7090 Repairs/Maint 8N Church</t>
  </si>
  <si>
    <t xml:space="preserve">7095 Security</t>
  </si>
  <si>
    <t xml:space="preserve">7100 Supplies/Cleaning</t>
  </si>
  <si>
    <t xml:space="preserve">7105 Supplies/Food (Maint.)</t>
  </si>
  <si>
    <t xml:space="preserve">7110 Supplies/Materials (Maint.)</t>
  </si>
  <si>
    <t xml:space="preserve">7115 Taxes &amp; Water</t>
  </si>
  <si>
    <t xml:space="preserve">7120 Operational Maintenance</t>
  </si>
  <si>
    <t xml:space="preserve">7121 Building Expense (unanticipated repairs)</t>
  </si>
  <si>
    <t xml:space="preserve">7122 Vale Cemetery upkeep(new)</t>
  </si>
  <si>
    <t xml:space="preserve">Property Staff</t>
  </si>
  <si>
    <t xml:space="preserve">5032 FICA Maintenance</t>
  </si>
  <si>
    <t xml:space="preserve">5033 Wages Maintenance</t>
  </si>
  <si>
    <t xml:space="preserve">5034 Medical Maintenance</t>
  </si>
  <si>
    <t xml:space="preserve">5035 Retirement Maintenance</t>
  </si>
  <si>
    <t xml:space="preserve">5036 Continuing Education</t>
  </si>
  <si>
    <t xml:space="preserve">Worship &amp; Arts</t>
  </si>
  <si>
    <t xml:space="preserve">6005 Communion</t>
  </si>
  <si>
    <t xml:space="preserve">6015 Honorarim (Pulpit Organ)</t>
  </si>
  <si>
    <t xml:space="preserve">6016 Organ Repair</t>
  </si>
  <si>
    <t xml:space="preserve">6020 Instrument Maintenance</t>
  </si>
  <si>
    <t xml:space="preserve">6025 Misc Music Expense</t>
  </si>
  <si>
    <t xml:space="preserve">6030 Misc Worship Expense</t>
  </si>
  <si>
    <t xml:space="preserve">6035 Music and Rights</t>
  </si>
  <si>
    <t xml:space="preserve">6036 Choir Robes</t>
  </si>
  <si>
    <t xml:space="preserve">6040 Childrens Choir</t>
  </si>
  <si>
    <t xml:space="preserve">6045 Handbells</t>
  </si>
  <si>
    <t xml:space="preserve">6050 Musicians</t>
  </si>
  <si>
    <t xml:space="preserve">6065 Special Worship</t>
  </si>
  <si>
    <t xml:space="preserve">6066 Orff Program</t>
  </si>
  <si>
    <t xml:space="preserve">6070 Ushers</t>
  </si>
  <si>
    <t xml:space="preserve">6075 Vespers</t>
  </si>
  <si>
    <t xml:space="preserve">6076 Flowers expenses</t>
  </si>
  <si>
    <t xml:space="preserve">6077 Audio sound expenses</t>
  </si>
  <si>
    <t xml:space="preserve">6078 Audio Sound /Video Streeming expenses</t>
  </si>
  <si>
    <t xml:space="preserve">6079 Miscast Cabaret (new)</t>
  </si>
  <si>
    <t xml:space="preserve">6080 Art Series (new)</t>
  </si>
  <si>
    <t xml:space="preserve">6081 Art Display Expence (new)</t>
  </si>
  <si>
    <t xml:space="preserve">6082 Candle,Oil,Wreth Exp. (new)</t>
  </si>
  <si>
    <t xml:space="preserve">6083 Vesting for Sanctuary(new)</t>
  </si>
  <si>
    <t xml:space="preserve">6084 Chancel Guild expenses/Cook Trust</t>
  </si>
  <si>
    <t xml:space="preserve">Worship &amp; Arts Music Staff</t>
  </si>
  <si>
    <t xml:space="preserve">5042 FICA Music</t>
  </si>
  <si>
    <t xml:space="preserve">5043 Wages Music</t>
  </si>
  <si>
    <t xml:space="preserve">5044 Continuing Education</t>
  </si>
  <si>
    <t xml:space="preserve">Worship &amp; Arts Senior Pastor</t>
  </si>
  <si>
    <t xml:space="preserve">5011 Continuing Ed Sr. Pastor</t>
  </si>
  <si>
    <t xml:space="preserve">5013 Wages Sr. Pastor</t>
  </si>
  <si>
    <t xml:space="preserve">5014 Medical Sr. Pastor</t>
  </si>
  <si>
    <t xml:space="preserve">5015 Retirement Sr. Pastor</t>
  </si>
  <si>
    <t xml:space="preserve">5016 Social Security Offset Sr. Pastor</t>
  </si>
  <si>
    <t xml:space="preserve">5017 Business &amp; Auto Sr. Pastor</t>
  </si>
  <si>
    <t xml:space="preserve">5018 Housing Sr. Pastor</t>
  </si>
  <si>
    <t xml:space="preserve">5019 Disability &amp; Life</t>
  </si>
  <si>
    <t xml:space="preserve">Youth Ed</t>
  </si>
  <si>
    <t xml:space="preserve">6105 Audio/Visual Church School</t>
  </si>
  <si>
    <t xml:space="preserve">6110 Confirmation/Communion</t>
  </si>
  <si>
    <t xml:space="preserve">6115 Curriculum Church School</t>
  </si>
  <si>
    <t xml:space="preserve">6116 Childrens Library</t>
  </si>
  <si>
    <t xml:space="preserve">6120 Family Programming</t>
  </si>
  <si>
    <t xml:space="preserve">6121 Camp Fowler scholarships (new)</t>
  </si>
  <si>
    <t xml:space="preserve">6124 Junior and Senior Youth</t>
  </si>
  <si>
    <t xml:space="preserve">6126 Misc. Education Expense</t>
  </si>
  <si>
    <t xml:space="preserve">6130 Recognition/Development</t>
  </si>
  <si>
    <t xml:space="preserve">6135 Senior High Mission Trip</t>
  </si>
  <si>
    <t xml:space="preserve">6145 Special Youth Service</t>
  </si>
  <si>
    <t xml:space="preserve">6150 Food, Church School</t>
  </si>
  <si>
    <t xml:space="preserve">6155 Supplies, Church School</t>
  </si>
  <si>
    <t xml:space="preserve">6160 Supplies Kinderwyk</t>
  </si>
  <si>
    <t xml:space="preserve">6165 Vacation Bible School</t>
  </si>
  <si>
    <t xml:space="preserve">Youth Ed Staff</t>
  </si>
  <si>
    <t xml:space="preserve">5072 FICA Youth</t>
  </si>
  <si>
    <t xml:space="preserve">5073 Wages Youth</t>
  </si>
  <si>
    <t xml:space="preserve">5075 Retirement Youth(new)</t>
  </si>
  <si>
    <t xml:space="preserve">5080 Continuing Education</t>
  </si>
  <si>
    <t xml:space="preserve">01 Classis Assessments</t>
  </si>
  <si>
    <t xml:space="preserve">02 Contributions</t>
  </si>
  <si>
    <t xml:space="preserve">4014 Easter Offering</t>
  </si>
  <si>
    <t xml:space="preserve">4015 Christmas Offering </t>
  </si>
  <si>
    <t xml:space="preserve">4016 Thanksgiving Offering</t>
  </si>
  <si>
    <t xml:space="preserve">4023 Online Giving Fee</t>
  </si>
  <si>
    <t xml:space="preserve">4024 Senior High Mission Trip income</t>
  </si>
  <si>
    <t xml:space="preserve">03 Investment Income</t>
  </si>
  <si>
    <t xml:space="preserve">2215 Checking Account</t>
  </si>
  <si>
    <t xml:space="preserve">04 Covenant Income</t>
  </si>
  <si>
    <t xml:space="preserve">05 Other Income</t>
  </si>
  <si>
    <t xml:space="preserve">4055 Holiday/Memorial Flowers income</t>
  </si>
  <si>
    <t xml:space="preserve">4057 Scholarship from Education Fund income</t>
  </si>
  <si>
    <t xml:space="preserve">07 Worship &amp; Arts</t>
  </si>
  <si>
    <t xml:space="preserve">6004 Audio Visual Contract Services (new)</t>
  </si>
  <si>
    <t xml:space="preserve">6076 Holiday/Memorial Flowers expenses</t>
  </si>
  <si>
    <t xml:space="preserve">6079 Miscast Cabaret </t>
  </si>
  <si>
    <t xml:space="preserve">6080 Art Series </t>
  </si>
  <si>
    <t xml:space="preserve">6081 Art Display Expence</t>
  </si>
  <si>
    <t xml:space="preserve">6082 Candle,Oil,Wreth Exp. </t>
  </si>
  <si>
    <t xml:space="preserve">6083 Vesting for Sanctuary</t>
  </si>
  <si>
    <t xml:space="preserve">08 Youth Ed</t>
  </si>
  <si>
    <t xml:space="preserve">6121 Camp Fowler scholarships </t>
  </si>
  <si>
    <t xml:space="preserve">6135 Senior High Mission Trip expense</t>
  </si>
  <si>
    <t xml:space="preserve">5074 Health Insurance Youth</t>
  </si>
  <si>
    <t xml:space="preserve">5075 Retirement Youth</t>
  </si>
  <si>
    <t xml:space="preserve">09 M&amp;B</t>
  </si>
  <si>
    <t xml:space="preserve">10 Covenant Fund</t>
  </si>
  <si>
    <t xml:space="preserve">6351 Approved Programs</t>
  </si>
  <si>
    <t xml:space="preserve">6360 Small Grants</t>
  </si>
  <si>
    <t xml:space="preserve">6368 Kitchen supplies</t>
  </si>
  <si>
    <t xml:space="preserve">6369 To Go Containers </t>
  </si>
  <si>
    <t xml:space="preserve">6375 Continuing Education</t>
  </si>
  <si>
    <t xml:space="preserve">11 Adult Ed</t>
  </si>
  <si>
    <t xml:space="preserve">6409 Scholarship from Education Fund expense</t>
  </si>
  <si>
    <t xml:space="preserve">12 Care &amp; Support</t>
  </si>
  <si>
    <t xml:space="preserve">13 Membership</t>
  </si>
  <si>
    <t xml:space="preserve">14 Creation Care</t>
  </si>
  <si>
    <t xml:space="preserve">15 Property</t>
  </si>
  <si>
    <t xml:space="preserve">7001 Custodian Fee/Other serv. Fee</t>
  </si>
  <si>
    <t xml:space="preserve">7122 Vale Cemetery upkeep</t>
  </si>
  <si>
    <t xml:space="preserve">5037 Housekeeping staff (new position)</t>
  </si>
  <si>
    <t xml:space="preserve">16 Finance</t>
  </si>
  <si>
    <t xml:space="preserve">8020 990 Preparation Expense </t>
  </si>
  <si>
    <t xml:space="preserve">17 Archives</t>
  </si>
  <si>
    <t xml:space="preserve">18 Administration</t>
  </si>
  <si>
    <t xml:space="preserve">9050 Staff Development</t>
  </si>
  <si>
    <t xml:space="preserve">19 Communications</t>
  </si>
  <si>
    <t>9111 Advertising</t>
  </si>
  <si>
    <t xml:space="preserve">9116 Supplies </t>
  </si>
  <si>
    <t xml:space="preserve">01 Classis Assessment</t>
  </si>
  <si>
    <t xml:space="preserve">4026 Beguest</t>
  </si>
  <si>
    <t xml:space="preserve">1234 Designated Fund Income</t>
  </si>
  <si>
    <t xml:space="preserve">5020 Pastoral Search Expense</t>
  </si>
  <si>
    <r>
      <t xml:space="preserve">6082 Candle,Oil,Wreth Exp.</t>
    </r>
    <r>
      <rPr>
        <sz val="11"/>
        <color indexed="2"/>
        <rFont val="Arial"/>
      </rPr>
      <t xml:space="preserve"> </t>
    </r>
  </si>
  <si>
    <r>
      <rPr>
        <sz val="11"/>
        <rFont val="Arial"/>
      </rPr>
      <t>6084</t>
    </r>
    <r>
      <rPr>
        <sz val="11"/>
        <color indexed="2"/>
        <rFont val="Arial"/>
      </rPr>
      <t xml:space="preserve"> </t>
    </r>
    <r>
      <rPr>
        <sz val="11"/>
        <rFont val="Arial"/>
      </rPr>
      <t xml:space="preserve">Chancel Guild expenses/Cook Trust</t>
    </r>
  </si>
  <si>
    <t xml:space="preserve">08 M&amp;B</t>
  </si>
  <si>
    <t xml:space="preserve">6306 Little Pantry</t>
  </si>
  <si>
    <t xml:space="preserve">09 Covenant Fund</t>
  </si>
  <si>
    <t xml:space="preserve">COVENANT FUND</t>
  </si>
  <si>
    <t xml:space="preserve">10 Adult Ed</t>
  </si>
  <si>
    <t xml:space="preserve">11 Care &amp; Support</t>
  </si>
  <si>
    <t xml:space="preserve">12 Membership</t>
  </si>
  <si>
    <t xml:space="preserve">13 Creation Care</t>
  </si>
  <si>
    <t xml:space="preserve">14 Property</t>
  </si>
  <si>
    <t xml:space="preserve">15 Finance</t>
  </si>
  <si>
    <t xml:space="preserve">16 Archives</t>
  </si>
  <si>
    <t xml:space="preserve">17 Administration</t>
  </si>
  <si>
    <t xml:space="preserve">9001 Personnel Committee expense</t>
  </si>
  <si>
    <t xml:space="preserve">9002 Business ans auto expense</t>
  </si>
  <si>
    <t xml:space="preserve">18 Communications</t>
  </si>
  <si>
    <r>
      <t xml:space="preserve">9116 Supplies</t>
    </r>
    <r>
      <rPr>
        <sz val="11"/>
        <color indexed="2"/>
        <rFont val="Arial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</si>
</sst>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\$#,##0_);[Red](\$#,##0)"/>
    <numFmt numFmtId="165" formatCode="&quot;$&quot;#,##0"/>
    <numFmt numFmtId="166" formatCode="&quot;$&quot;#,##0.00"/>
  </numFmts>
  <fonts count="8">
    <font>
      <sz val="10.000000"/>
      <color theme="1"/>
      <name val="Arial"/>
      <scheme val="minor"/>
    </font>
    <font>
      <sz val="10.000000"/>
      <name val="Arial"/>
    </font>
    <font>
      <b/>
      <sz val="11.000000"/>
      <color theme="1"/>
      <name val="Arial"/>
    </font>
    <font>
      <sz val="11.000000"/>
      <color theme="1"/>
      <name val="Arial"/>
    </font>
    <font>
      <sz val="11.000000"/>
      <name val="Arial"/>
    </font>
    <font>
      <sz val="10.000000"/>
      <color theme="1"/>
      <name val="Arial"/>
    </font>
    <font>
      <sz val="11.000000"/>
      <color indexed="2"/>
      <name val="Arial"/>
    </font>
    <font>
      <b/>
      <sz val="10.000000"/>
      <color theme="1"/>
      <name val="Arial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0"/>
        <bgColor theme="0" tint="0"/>
      </patternFill>
    </fill>
    <fill>
      <patternFill patternType="solid">
        <fgColor indexed="65"/>
      </patternFill>
    </fill>
    <fill>
      <patternFill patternType="solid">
        <fgColor rgb="FFFFC00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05"/>
        <bgColor rgb="FFD9D9D9"/>
      </patternFill>
    </fill>
    <fill>
      <patternFill patternType="solid">
        <fgColor theme="0"/>
        <bgColor rgb="FFD9D9D9"/>
      </patternFill>
    </fill>
  </fills>
  <borders count="5">
    <border>
      <left style="none"/>
      <right style="none"/>
      <top style="none"/>
      <bottom style="none"/>
      <diagonal style="none"/>
    </border>
    <border>
      <left style="thin">
        <color theme="4" tint="0.39997558519241921"/>
      </left>
      <right style="none"/>
      <top style="thin">
        <color theme="4" tint="0.39997558519241921"/>
      </top>
      <bottom style="thin">
        <color theme="4" tint="0.3999755851924192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50">
    <xf fontId="0" fillId="0" borderId="0" numFmtId="0" xfId="0"/>
    <xf fontId="0" fillId="0" borderId="0" numFmtId="0" xfId="0" applyAlignment="1">
      <alignment vertical="top"/>
    </xf>
    <xf fontId="0" fillId="0" borderId="0" numFmtId="3" xfId="0" applyNumberFormat="1" applyAlignment="1">
      <alignment vertical="top"/>
    </xf>
    <xf fontId="0" fillId="0" borderId="0" numFmtId="0" xfId="0" applyAlignment="1">
      <alignment vertical="center"/>
    </xf>
    <xf fontId="2" fillId="2" borderId="1" numFmtId="49" xfId="0" applyNumberFormat="1" applyFont="1" applyFill="1" applyBorder="1" applyAlignment="1">
      <alignment horizontal="center" vertical="center" wrapText="1"/>
    </xf>
    <xf fontId="2" fillId="2" borderId="0" numFmtId="3" xfId="0" applyNumberFormat="1" applyFont="1" applyFill="1" applyAlignment="1">
      <alignment horizontal="center" vertical="center" wrapText="1"/>
    </xf>
    <xf fontId="0" fillId="3" borderId="0" numFmtId="0" xfId="0" applyFill="1" applyAlignment="1">
      <alignment vertical="top"/>
    </xf>
    <xf fontId="0" fillId="0" borderId="0" numFmtId="0" xfId="0">
      <protection hidden="0" locked="1"/>
    </xf>
    <xf fontId="0" fillId="0" borderId="0" numFmtId="164" xfId="0" applyNumberFormat="1"/>
    <xf fontId="0" fillId="0" borderId="0" numFmtId="165" xfId="0" applyNumberFormat="1" applyAlignment="1">
      <alignment vertical="top"/>
    </xf>
    <xf fontId="0" fillId="3" borderId="0" numFmtId="0" xfId="0" applyFill="1"/>
    <xf fontId="0" fillId="3" borderId="0" numFmtId="3" xfId="0" applyNumberFormat="1" applyFill="1"/>
    <xf fontId="3" fillId="4" borderId="2" numFmtId="0" xfId="0" applyFont="1" applyFill="1" applyBorder="1" applyAlignment="1">
      <alignment vertical="top"/>
    </xf>
    <xf fontId="3" fillId="4" borderId="2" numFmtId="166" xfId="0" applyNumberFormat="1" applyFont="1" applyFill="1" applyBorder="1" applyAlignment="1">
      <alignment vertical="top"/>
    </xf>
    <xf fontId="3" fillId="0" borderId="2" numFmtId="166" xfId="0" applyNumberFormat="1" applyFont="1" applyBorder="1" applyAlignment="1">
      <alignment horizontal="right" vertical="top"/>
    </xf>
    <xf fontId="0" fillId="0" borderId="2" numFmtId="0" xfId="0" applyBorder="1" applyAlignment="1">
      <alignment vertical="top"/>
    </xf>
    <xf fontId="3" fillId="0" borderId="2" numFmtId="166" xfId="0" applyNumberFormat="1" applyFont="1" applyBorder="1" applyAlignment="1">
      <alignment vertical="top"/>
    </xf>
    <xf fontId="3" fillId="0" borderId="2" numFmtId="0" xfId="0" applyFont="1" applyBorder="1" applyAlignment="1">
      <alignment vertical="top"/>
    </xf>
    <xf fontId="4" fillId="4" borderId="2" numFmtId="0" xfId="0" applyFont="1" applyFill="1" applyBorder="1" applyAlignment="1">
      <alignment vertical="top"/>
    </xf>
    <xf fontId="4" fillId="0" borderId="2" numFmtId="166" xfId="0" applyNumberFormat="1" applyFont="1" applyBorder="1" applyAlignment="1">
      <alignment vertical="top"/>
    </xf>
    <xf fontId="3" fillId="5" borderId="2" numFmtId="166" xfId="0" applyNumberFormat="1" applyFont="1" applyFill="1" applyBorder="1" applyAlignment="1">
      <alignment vertical="top"/>
    </xf>
    <xf fontId="4" fillId="0" borderId="2" numFmtId="0" xfId="0" applyFont="1" applyBorder="1" applyAlignment="1">
      <alignment vertical="top"/>
    </xf>
    <xf fontId="4" fillId="6" borderId="2" numFmtId="166" xfId="0" applyNumberFormat="1" applyFont="1" applyFill="1" applyBorder="1" applyAlignment="1">
      <alignment vertical="top"/>
    </xf>
    <xf fontId="3" fillId="7" borderId="2" numFmtId="0" xfId="0" applyFont="1" applyFill="1" applyBorder="1" applyAlignment="1">
      <alignment vertical="top"/>
    </xf>
    <xf fontId="3" fillId="6" borderId="2" numFmtId="166" xfId="0" applyNumberFormat="1" applyFont="1" applyFill="1" applyBorder="1"/>
    <xf fontId="3" fillId="0" borderId="3" numFmtId="166" xfId="0" applyNumberFormat="1" applyFont="1" applyBorder="1" applyAlignment="1">
      <alignment vertical="top"/>
    </xf>
    <xf fontId="0" fillId="0" borderId="4" numFmtId="0" xfId="0" applyBorder="1" applyAlignment="1">
      <alignment vertical="top"/>
    </xf>
    <xf fontId="0" fillId="0" borderId="3" numFmtId="0" xfId="0" applyBorder="1" applyAlignment="1">
      <alignment vertical="top"/>
    </xf>
    <xf fontId="4" fillId="8" borderId="2" numFmtId="166" xfId="0" applyNumberFormat="1" applyFont="1" applyFill="1" applyBorder="1" applyAlignment="1">
      <alignment vertical="top"/>
    </xf>
    <xf fontId="5" fillId="0" borderId="2" numFmtId="166" xfId="0" applyNumberFormat="1" applyFont="1" applyBorder="1" applyAlignment="1">
      <alignment vertical="top"/>
    </xf>
    <xf fontId="0" fillId="0" borderId="2" numFmtId="166" xfId="0" applyNumberFormat="1" applyBorder="1" applyAlignment="1">
      <alignment vertical="top"/>
    </xf>
    <xf fontId="5" fillId="8" borderId="2" numFmtId="166" xfId="0" applyNumberFormat="1" applyFont="1" applyFill="1" applyBorder="1" applyAlignment="1">
      <alignment vertical="top"/>
    </xf>
    <xf fontId="5" fillId="6" borderId="2" numFmtId="166" xfId="0" applyNumberFormat="1" applyFont="1" applyFill="1" applyBorder="1" applyAlignment="1">
      <alignment vertical="top"/>
    </xf>
    <xf fontId="5" fillId="4" borderId="2" numFmtId="166" xfId="0" applyNumberFormat="1" applyFont="1" applyFill="1" applyBorder="1" applyAlignment="1">
      <alignment vertical="top"/>
    </xf>
    <xf fontId="1" fillId="4" borderId="2" numFmtId="166" xfId="0" applyNumberFormat="1" applyFont="1" applyFill="1" applyBorder="1" applyAlignment="1">
      <alignment vertical="top"/>
    </xf>
    <xf fontId="1" fillId="0" borderId="2" numFmtId="166" xfId="0" applyNumberFormat="1" applyFont="1" applyBorder="1" applyAlignment="1">
      <alignment horizontal="right" vertical="top"/>
    </xf>
    <xf fontId="3" fillId="4" borderId="2" numFmtId="0" xfId="0" applyFont="1" applyFill="1" applyBorder="1" applyAlignment="1">
      <alignment horizontal="left" vertical="top"/>
    </xf>
    <xf fontId="1" fillId="4" borderId="2" numFmtId="166" xfId="0" applyNumberFormat="1" applyFont="1" applyFill="1" applyBorder="1" applyAlignment="1">
      <alignment horizontal="right" vertical="top"/>
    </xf>
    <xf fontId="6" fillId="4" borderId="2" numFmtId="0" xfId="0" applyFont="1" applyFill="1" applyBorder="1" applyAlignment="1">
      <alignment vertical="top"/>
    </xf>
    <xf fontId="5" fillId="0" borderId="2" numFmtId="166" xfId="0" applyNumberFormat="1" applyFont="1" applyBorder="1" applyAlignment="1">
      <alignment horizontal="right" vertical="top"/>
    </xf>
    <xf fontId="1" fillId="8" borderId="2" numFmtId="166" xfId="0" applyNumberFormat="1" applyFont="1" applyFill="1" applyBorder="1" applyAlignment="1">
      <alignment vertical="top"/>
    </xf>
    <xf fontId="2" fillId="9" borderId="2" numFmtId="0" xfId="0" applyFont="1" applyFill="1" applyBorder="1" applyAlignment="1">
      <alignment vertical="top"/>
    </xf>
    <xf fontId="7" fillId="0" borderId="2" numFmtId="166" xfId="0" applyNumberFormat="1" applyFont="1" applyBorder="1" applyAlignment="1">
      <alignment vertical="top"/>
    </xf>
    <xf fontId="3" fillId="10" borderId="2" numFmtId="0" xfId="0" applyFont="1" applyFill="1" applyBorder="1" applyAlignment="1">
      <alignment vertical="top"/>
    </xf>
    <xf fontId="5" fillId="10" borderId="2" numFmtId="166" xfId="0" applyNumberFormat="1" applyFont="1" applyFill="1" applyBorder="1" applyAlignment="1">
      <alignment vertical="top"/>
    </xf>
    <xf fontId="1" fillId="0" borderId="2" numFmtId="166" xfId="0" applyNumberFormat="1" applyFont="1" applyBorder="1" applyAlignment="1">
      <alignment vertical="top"/>
    </xf>
    <xf fontId="5" fillId="4" borderId="2" numFmtId="0" xfId="0" applyFont="1" applyFill="1" applyBorder="1" applyAlignment="1">
      <alignment vertical="top"/>
    </xf>
    <xf fontId="2" fillId="4" borderId="2" numFmtId="0" xfId="0" applyFont="1" applyFill="1" applyBorder="1" applyAlignment="1">
      <alignment vertical="top"/>
    </xf>
    <xf fontId="2" fillId="4" borderId="2" numFmtId="166" xfId="0" applyNumberFormat="1" applyFont="1" applyFill="1" applyBorder="1" applyAlignment="1">
      <alignment vertical="top"/>
    </xf>
    <xf fontId="5" fillId="0" borderId="2" numFmtId="0" xfId="0" applyFont="1" applyBorder="1" applyAlignment="1">
      <alignment vertical="top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2" Type="http://schemas.openxmlformats.org/officeDocument/2006/relationships/connections" Target="connections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budget%2011-01-2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11-01-23"/>
    </sheetNames>
    <sheetDataSet>
      <sheetData sheetId="0" refreshError="1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topLeftCell="A1" zoomScale="85" workbookViewId="0">
      <pane ySplit="1" topLeftCell="A2" activePane="bottomLeft" state="frozen"/>
      <selection activeCell="G18" activeCellId="0" sqref="G18"/>
    </sheetView>
  </sheetViews>
  <sheetFormatPr defaultColWidth="9.140625" defaultRowHeight="12.75"/>
  <cols>
    <col min="1" max="1" style="1" width="9.140625"/>
    <col bestFit="1" customWidth="1" min="2" max="2" style="1" width="17.28515625"/>
    <col bestFit="1" customWidth="1" min="3" max="3" style="1" width="29.140625"/>
    <col bestFit="1" customWidth="1" min="4" max="4" style="1" width="46.7109375"/>
    <col customWidth="1" min="5" max="5" style="2" width="24"/>
    <col bestFit="1" min="6" max="6" style="1" width="9.421875"/>
    <col min="7" max="16384" style="1" width="9.140625"/>
  </cols>
  <sheetData>
    <row r="1" s="3" customFormat="1" ht="14.25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3">
        <v>0</v>
      </c>
      <c r="G1" s="3"/>
    </row>
    <row r="2">
      <c r="A2" s="6">
        <v>2023</v>
      </c>
      <c r="B2" s="7" t="s">
        <v>5</v>
      </c>
      <c r="C2" s="7" t="s">
        <v>6</v>
      </c>
      <c r="D2" s="7" t="s">
        <v>7</v>
      </c>
      <c r="E2" s="8">
        <v>14000</v>
      </c>
      <c r="F2" s="6">
        <f t="shared" ref="F2:F9" si="0">IF(C2=C1,F1,F1+1)</f>
        <v>1</v>
      </c>
      <c r="G2" s="1"/>
    </row>
    <row r="3">
      <c r="A3" s="6">
        <v>2023</v>
      </c>
      <c r="B3" s="7" t="s">
        <v>5</v>
      </c>
      <c r="C3" s="7" t="s">
        <v>6</v>
      </c>
      <c r="D3" s="7" t="s">
        <v>8</v>
      </c>
      <c r="E3" s="8">
        <v>335500</v>
      </c>
      <c r="F3" s="6">
        <f t="shared" si="0"/>
        <v>1</v>
      </c>
      <c r="G3" s="1"/>
    </row>
    <row r="4">
      <c r="A4" s="6">
        <v>2023</v>
      </c>
      <c r="B4" s="7" t="s">
        <v>5</v>
      </c>
      <c r="C4" s="7" t="s">
        <v>6</v>
      </c>
      <c r="D4" s="7" t="s">
        <v>9</v>
      </c>
      <c r="E4" s="8">
        <v>10000</v>
      </c>
      <c r="F4" s="6">
        <f t="shared" si="0"/>
        <v>1</v>
      </c>
      <c r="G4" s="1"/>
    </row>
    <row r="5">
      <c r="A5" s="6">
        <v>2023</v>
      </c>
      <c r="B5" s="7" t="s">
        <v>5</v>
      </c>
      <c r="C5" s="7" t="s">
        <v>6</v>
      </c>
      <c r="D5" s="7" t="s">
        <v>10</v>
      </c>
      <c r="E5" s="8">
        <v>7000</v>
      </c>
      <c r="F5" s="6">
        <f t="shared" si="0"/>
        <v>1</v>
      </c>
      <c r="G5" s="1"/>
    </row>
    <row r="6">
      <c r="A6" s="6">
        <v>2023</v>
      </c>
      <c r="B6" s="7" t="s">
        <v>5</v>
      </c>
      <c r="C6" s="7" t="s">
        <v>6</v>
      </c>
      <c r="D6" s="7" t="s">
        <v>11</v>
      </c>
      <c r="E6" s="8">
        <v>10000</v>
      </c>
      <c r="F6" s="6">
        <f t="shared" si="0"/>
        <v>1</v>
      </c>
      <c r="G6" s="1"/>
    </row>
    <row r="7">
      <c r="A7" s="6">
        <v>2023</v>
      </c>
      <c r="B7" s="7" t="s">
        <v>5</v>
      </c>
      <c r="C7" s="7" t="s">
        <v>6</v>
      </c>
      <c r="D7" s="7" t="s">
        <v>12</v>
      </c>
      <c r="E7" s="8">
        <v>32500</v>
      </c>
      <c r="F7" s="6">
        <f t="shared" si="0"/>
        <v>1</v>
      </c>
      <c r="G7" s="1"/>
    </row>
    <row r="8">
      <c r="A8" s="6">
        <v>2023</v>
      </c>
      <c r="B8" s="7" t="s">
        <v>5</v>
      </c>
      <c r="C8" s="7" t="s">
        <v>6</v>
      </c>
      <c r="D8" s="7" t="s">
        <v>13</v>
      </c>
      <c r="E8" s="8">
        <v>200</v>
      </c>
      <c r="F8" s="6">
        <f t="shared" si="0"/>
        <v>1</v>
      </c>
      <c r="G8" s="1"/>
    </row>
    <row r="9">
      <c r="A9" s="6">
        <v>2023</v>
      </c>
      <c r="B9" s="7" t="s">
        <v>5</v>
      </c>
      <c r="C9" s="7" t="s">
        <v>6</v>
      </c>
      <c r="D9" s="7" t="s">
        <v>14</v>
      </c>
      <c r="E9" s="8">
        <v>200</v>
      </c>
      <c r="F9" s="6">
        <f t="shared" si="0"/>
        <v>1</v>
      </c>
      <c r="G9" s="1"/>
    </row>
    <row r="10">
      <c r="A10" s="6">
        <v>2023</v>
      </c>
      <c r="B10" s="7" t="s">
        <v>5</v>
      </c>
      <c r="C10" s="7" t="s">
        <v>15</v>
      </c>
      <c r="D10" s="7" t="s">
        <v>16</v>
      </c>
      <c r="E10" s="8">
        <v>8000</v>
      </c>
      <c r="F10" s="6">
        <f>IF(C10=C9,F9,F9+1)</f>
        <v>2</v>
      </c>
      <c r="G10" s="1"/>
    </row>
    <row r="11">
      <c r="A11" s="6">
        <v>2023</v>
      </c>
      <c r="B11" s="7" t="s">
        <v>5</v>
      </c>
      <c r="C11" s="7" t="s">
        <v>15</v>
      </c>
      <c r="D11" s="7" t="s">
        <v>17</v>
      </c>
      <c r="E11" s="8">
        <v>0</v>
      </c>
      <c r="F11" s="6">
        <f t="shared" ref="F11:F74" si="1">IF(C11=C10,F10,F10+1)</f>
        <v>2</v>
      </c>
      <c r="G11" s="1"/>
    </row>
    <row r="12">
      <c r="A12" s="6">
        <v>2023</v>
      </c>
      <c r="B12" s="7" t="s">
        <v>5</v>
      </c>
      <c r="C12" s="7" t="s">
        <v>15</v>
      </c>
      <c r="D12" s="7" t="s">
        <v>18</v>
      </c>
      <c r="E12" s="8">
        <v>66000</v>
      </c>
      <c r="F12" s="6">
        <f t="shared" si="1"/>
        <v>2</v>
      </c>
      <c r="G12" s="1"/>
    </row>
    <row r="13">
      <c r="A13" s="6">
        <v>2023</v>
      </c>
      <c r="B13" s="7" t="s">
        <v>5</v>
      </c>
      <c r="C13" s="7" t="s">
        <v>15</v>
      </c>
      <c r="D13" s="7" t="s">
        <v>19</v>
      </c>
      <c r="E13" s="8">
        <v>62520</v>
      </c>
      <c r="F13" s="6">
        <f t="shared" si="1"/>
        <v>2</v>
      </c>
      <c r="G13" s="1"/>
    </row>
    <row r="14">
      <c r="A14" s="6">
        <v>2023</v>
      </c>
      <c r="B14" s="7" t="s">
        <v>5</v>
      </c>
      <c r="C14" s="7" t="s">
        <v>15</v>
      </c>
      <c r="D14" s="7" t="s">
        <v>20</v>
      </c>
      <c r="E14" s="8">
        <v>100000</v>
      </c>
      <c r="F14" s="6">
        <f t="shared" si="1"/>
        <v>2</v>
      </c>
      <c r="G14" s="1"/>
    </row>
    <row r="15">
      <c r="A15" s="6">
        <v>2023</v>
      </c>
      <c r="B15" s="7" t="s">
        <v>5</v>
      </c>
      <c r="C15" s="7" t="s">
        <v>21</v>
      </c>
      <c r="D15" s="7" t="s">
        <v>22</v>
      </c>
      <c r="E15" s="8">
        <v>175700</v>
      </c>
      <c r="F15" s="6">
        <f t="shared" si="1"/>
        <v>3</v>
      </c>
      <c r="G15" s="1"/>
    </row>
    <row r="16">
      <c r="A16" s="6">
        <v>2023</v>
      </c>
      <c r="B16" s="7" t="s">
        <v>5</v>
      </c>
      <c r="C16" s="7" t="s">
        <v>21</v>
      </c>
      <c r="D16" s="7" t="s">
        <v>23</v>
      </c>
      <c r="E16" s="8">
        <v>188500</v>
      </c>
      <c r="F16" s="6">
        <f t="shared" si="1"/>
        <v>3</v>
      </c>
      <c r="G16" s="1"/>
    </row>
    <row r="17">
      <c r="A17" s="6">
        <v>2023</v>
      </c>
      <c r="B17" s="7" t="s">
        <v>5</v>
      </c>
      <c r="C17" s="7" t="s">
        <v>21</v>
      </c>
      <c r="D17" s="7" t="s">
        <v>24</v>
      </c>
      <c r="E17" s="8">
        <v>140000</v>
      </c>
      <c r="F17" s="6">
        <f t="shared" si="1"/>
        <v>3</v>
      </c>
      <c r="G17" s="1"/>
    </row>
    <row r="18">
      <c r="A18" s="6">
        <v>2023</v>
      </c>
      <c r="B18" s="7" t="s">
        <v>5</v>
      </c>
      <c r="C18" s="7" t="s">
        <v>21</v>
      </c>
      <c r="D18" s="7" t="s">
        <v>25</v>
      </c>
      <c r="E18" s="8">
        <v>16922</v>
      </c>
      <c r="F18" s="6">
        <f t="shared" si="1"/>
        <v>3</v>
      </c>
      <c r="G18" s="1"/>
    </row>
    <row r="19">
      <c r="A19" s="6">
        <v>2023</v>
      </c>
      <c r="B19" s="7" t="s">
        <v>5</v>
      </c>
      <c r="C19" s="7" t="s">
        <v>21</v>
      </c>
      <c r="D19" s="7" t="s">
        <v>26</v>
      </c>
      <c r="E19" s="8">
        <v>34600</v>
      </c>
      <c r="F19" s="6">
        <f t="shared" si="1"/>
        <v>3</v>
      </c>
      <c r="G19" s="1"/>
    </row>
    <row r="20">
      <c r="A20" s="6">
        <v>2023</v>
      </c>
      <c r="B20" s="7" t="s">
        <v>5</v>
      </c>
      <c r="C20" s="7" t="s">
        <v>21</v>
      </c>
      <c r="D20" s="7" t="s">
        <v>27</v>
      </c>
      <c r="E20" s="8">
        <v>22350</v>
      </c>
      <c r="F20" s="6">
        <f t="shared" si="1"/>
        <v>3</v>
      </c>
      <c r="G20" s="1"/>
    </row>
    <row r="21">
      <c r="A21" s="6">
        <v>2023</v>
      </c>
      <c r="B21" s="7" t="s">
        <v>5</v>
      </c>
      <c r="C21" s="7" t="s">
        <v>28</v>
      </c>
      <c r="D21" s="7" t="s">
        <v>29</v>
      </c>
      <c r="E21" s="8">
        <v>10000</v>
      </c>
      <c r="F21" s="6">
        <f t="shared" si="1"/>
        <v>4</v>
      </c>
      <c r="G21" s="1"/>
    </row>
    <row r="22">
      <c r="A22" s="6">
        <v>2023</v>
      </c>
      <c r="B22" s="7" t="s">
        <v>5</v>
      </c>
      <c r="C22" s="7" t="s">
        <v>28</v>
      </c>
      <c r="D22" s="7" t="s">
        <v>30</v>
      </c>
      <c r="E22" s="8">
        <v>3000</v>
      </c>
      <c r="F22" s="6">
        <f t="shared" si="1"/>
        <v>4</v>
      </c>
      <c r="G22" s="1"/>
    </row>
    <row r="23">
      <c r="A23" s="6">
        <v>2023</v>
      </c>
      <c r="B23" s="7" t="s">
        <v>5</v>
      </c>
      <c r="C23" s="7" t="s">
        <v>28</v>
      </c>
      <c r="D23" s="7" t="s">
        <v>31</v>
      </c>
      <c r="E23" s="8">
        <v>13800</v>
      </c>
      <c r="F23" s="6">
        <f t="shared" si="1"/>
        <v>4</v>
      </c>
      <c r="G23" s="1"/>
    </row>
    <row r="24">
      <c r="A24" s="6">
        <v>2023</v>
      </c>
      <c r="B24" s="7" t="s">
        <v>5</v>
      </c>
      <c r="C24" s="7" t="s">
        <v>28</v>
      </c>
      <c r="D24" s="7" t="s">
        <v>32</v>
      </c>
      <c r="E24" s="8">
        <v>1100</v>
      </c>
      <c r="F24" s="6">
        <f t="shared" si="1"/>
        <v>4</v>
      </c>
      <c r="G24" s="1"/>
    </row>
    <row r="25">
      <c r="A25" s="6">
        <v>2023</v>
      </c>
      <c r="B25" s="7" t="s">
        <v>5</v>
      </c>
      <c r="C25" s="7" t="s">
        <v>28</v>
      </c>
      <c r="D25" s="7" t="s">
        <v>33</v>
      </c>
      <c r="E25" s="8">
        <v>910</v>
      </c>
      <c r="F25" s="6">
        <f t="shared" si="1"/>
        <v>4</v>
      </c>
      <c r="G25" s="1"/>
    </row>
    <row r="26">
      <c r="A26" s="6">
        <v>2023</v>
      </c>
      <c r="B26" s="7" t="s">
        <v>5</v>
      </c>
      <c r="C26" s="7" t="s">
        <v>28</v>
      </c>
      <c r="D26" s="7" t="s">
        <v>34</v>
      </c>
      <c r="E26" s="8">
        <v>0</v>
      </c>
      <c r="F26" s="6">
        <f t="shared" si="1"/>
        <v>4</v>
      </c>
      <c r="G26" s="1"/>
    </row>
    <row r="27">
      <c r="A27" s="6">
        <v>2023</v>
      </c>
      <c r="B27" s="7" t="s">
        <v>35</v>
      </c>
      <c r="C27" s="7" t="s">
        <v>36</v>
      </c>
      <c r="D27" s="7" t="s">
        <v>37</v>
      </c>
      <c r="E27" s="8">
        <v>-3500</v>
      </c>
      <c r="F27" s="6">
        <f t="shared" si="1"/>
        <v>5</v>
      </c>
      <c r="G27" s="1"/>
    </row>
    <row r="28">
      <c r="A28" s="6">
        <v>2023</v>
      </c>
      <c r="B28" s="7" t="s">
        <v>35</v>
      </c>
      <c r="C28" s="7" t="s">
        <v>36</v>
      </c>
      <c r="D28" s="7" t="s">
        <v>38</v>
      </c>
      <c r="E28" s="8">
        <v>-27000</v>
      </c>
      <c r="F28" s="6">
        <f t="shared" si="1"/>
        <v>5</v>
      </c>
      <c r="G28" s="1"/>
    </row>
    <row r="29">
      <c r="A29" s="6">
        <v>2023</v>
      </c>
      <c r="B29" s="7" t="s">
        <v>35</v>
      </c>
      <c r="C29" s="7" t="s">
        <v>36</v>
      </c>
      <c r="D29" s="7" t="s">
        <v>39</v>
      </c>
      <c r="E29" s="8">
        <v>-500</v>
      </c>
      <c r="F29" s="6">
        <f t="shared" si="1"/>
        <v>5</v>
      </c>
      <c r="G29" s="1"/>
    </row>
    <row r="30">
      <c r="A30" s="6">
        <v>2023</v>
      </c>
      <c r="B30" s="7" t="s">
        <v>35</v>
      </c>
      <c r="C30" s="7" t="s">
        <v>36</v>
      </c>
      <c r="D30" s="7" t="s">
        <v>40</v>
      </c>
      <c r="E30" s="8">
        <v>-9000</v>
      </c>
      <c r="F30" s="6">
        <f t="shared" si="1"/>
        <v>5</v>
      </c>
    </row>
    <row r="31">
      <c r="A31" s="6">
        <v>2023</v>
      </c>
      <c r="B31" s="7" t="s">
        <v>35</v>
      </c>
      <c r="C31" s="7" t="s">
        <v>36</v>
      </c>
      <c r="D31" s="7" t="s">
        <v>41</v>
      </c>
      <c r="E31" s="8">
        <v>-4000</v>
      </c>
      <c r="F31" s="6">
        <f t="shared" si="1"/>
        <v>5</v>
      </c>
    </row>
    <row r="32">
      <c r="A32" s="6">
        <v>2023</v>
      </c>
      <c r="B32" s="7" t="s">
        <v>35</v>
      </c>
      <c r="C32" s="7" t="s">
        <v>36</v>
      </c>
      <c r="D32" s="7" t="s">
        <v>42</v>
      </c>
      <c r="E32" s="8">
        <v>-3000</v>
      </c>
      <c r="F32" s="6">
        <f t="shared" si="1"/>
        <v>5</v>
      </c>
    </row>
    <row r="33">
      <c r="A33" s="6">
        <v>2023</v>
      </c>
      <c r="B33" s="7" t="s">
        <v>35</v>
      </c>
      <c r="C33" s="7" t="s">
        <v>36</v>
      </c>
      <c r="D33" s="7" t="s">
        <v>43</v>
      </c>
      <c r="E33" s="8">
        <v>-1500</v>
      </c>
      <c r="F33" s="6">
        <f t="shared" si="1"/>
        <v>5</v>
      </c>
    </row>
    <row r="34">
      <c r="A34" s="6">
        <v>2023</v>
      </c>
      <c r="B34" s="7" t="s">
        <v>35</v>
      </c>
      <c r="C34" s="7" t="s">
        <v>36</v>
      </c>
      <c r="D34" s="7" t="s">
        <v>44</v>
      </c>
      <c r="E34" s="8">
        <v>-1000</v>
      </c>
      <c r="F34" s="6">
        <f t="shared" si="1"/>
        <v>5</v>
      </c>
    </row>
    <row r="35">
      <c r="A35" s="6">
        <v>2023</v>
      </c>
      <c r="B35" s="7" t="s">
        <v>35</v>
      </c>
      <c r="C35" s="7" t="s">
        <v>36</v>
      </c>
      <c r="D35" s="7" t="s">
        <v>45</v>
      </c>
      <c r="E35" s="8">
        <v>-2800</v>
      </c>
      <c r="F35" s="6">
        <f t="shared" si="1"/>
        <v>5</v>
      </c>
    </row>
    <row r="36">
      <c r="A36" s="6">
        <v>2023</v>
      </c>
      <c r="B36" s="7" t="s">
        <v>35</v>
      </c>
      <c r="C36" s="7" t="s">
        <v>36</v>
      </c>
      <c r="D36" s="7" t="s">
        <v>46</v>
      </c>
      <c r="E36" s="8">
        <v>-1600</v>
      </c>
      <c r="F36" s="6">
        <f t="shared" si="1"/>
        <v>5</v>
      </c>
    </row>
    <row r="37">
      <c r="A37" s="6">
        <v>2023</v>
      </c>
      <c r="B37" s="7" t="s">
        <v>35</v>
      </c>
      <c r="C37" s="7" t="s">
        <v>36</v>
      </c>
      <c r="D37" s="7" t="s">
        <v>47</v>
      </c>
      <c r="E37" s="8">
        <v>-500</v>
      </c>
      <c r="F37" s="6">
        <f t="shared" si="1"/>
        <v>5</v>
      </c>
    </row>
    <row r="38">
      <c r="A38" s="6">
        <v>2023</v>
      </c>
      <c r="B38" s="7" t="s">
        <v>35</v>
      </c>
      <c r="C38" s="7" t="s">
        <v>36</v>
      </c>
      <c r="D38" s="7" t="s">
        <v>48</v>
      </c>
      <c r="E38" s="8">
        <v>-4200</v>
      </c>
      <c r="F38" s="6">
        <f t="shared" si="1"/>
        <v>5</v>
      </c>
    </row>
    <row r="39">
      <c r="A39" s="6">
        <v>2023</v>
      </c>
      <c r="B39" s="7" t="s">
        <v>35</v>
      </c>
      <c r="C39" s="7" t="s">
        <v>36</v>
      </c>
      <c r="D39" s="7" t="s">
        <v>49</v>
      </c>
      <c r="E39" s="8">
        <v>-3000</v>
      </c>
      <c r="F39" s="6">
        <f t="shared" si="1"/>
        <v>5</v>
      </c>
    </row>
    <row r="40">
      <c r="A40" s="6">
        <v>2023</v>
      </c>
      <c r="B40" s="7" t="s">
        <v>35</v>
      </c>
      <c r="C40" s="7" t="s">
        <v>50</v>
      </c>
      <c r="D40" s="7" t="s">
        <v>51</v>
      </c>
      <c r="E40" s="8">
        <v>-5020</v>
      </c>
      <c r="F40" s="6">
        <f t="shared" si="1"/>
        <v>6</v>
      </c>
    </row>
    <row r="41">
      <c r="A41" s="6">
        <v>2023</v>
      </c>
      <c r="B41" s="7" t="s">
        <v>35</v>
      </c>
      <c r="C41" s="7" t="s">
        <v>50</v>
      </c>
      <c r="D41" s="7" t="s">
        <v>52</v>
      </c>
      <c r="E41" s="8">
        <v>-65600</v>
      </c>
      <c r="F41" s="6">
        <f t="shared" si="1"/>
        <v>6</v>
      </c>
    </row>
    <row r="42">
      <c r="A42" s="6">
        <v>2023</v>
      </c>
      <c r="B42" s="7" t="s">
        <v>35</v>
      </c>
      <c r="C42" s="7" t="s">
        <v>50</v>
      </c>
      <c r="D42" s="7" t="s">
        <v>53</v>
      </c>
      <c r="E42" s="8">
        <v>-2080</v>
      </c>
      <c r="F42" s="6">
        <f t="shared" si="1"/>
        <v>6</v>
      </c>
    </row>
    <row r="43">
      <c r="A43" s="6">
        <v>2023</v>
      </c>
      <c r="B43" s="7" t="s">
        <v>35</v>
      </c>
      <c r="C43" s="7" t="s">
        <v>50</v>
      </c>
      <c r="D43" s="7" t="s">
        <v>54</v>
      </c>
      <c r="E43" s="8">
        <v>-11000</v>
      </c>
      <c r="F43" s="6">
        <f t="shared" si="1"/>
        <v>6</v>
      </c>
    </row>
    <row r="44">
      <c r="A44" s="6">
        <v>2023</v>
      </c>
      <c r="B44" s="7" t="s">
        <v>35</v>
      </c>
      <c r="C44" s="7" t="s">
        <v>50</v>
      </c>
      <c r="D44" s="7" t="s">
        <v>55</v>
      </c>
      <c r="E44" s="8">
        <v>-1000</v>
      </c>
      <c r="F44" s="6">
        <f t="shared" si="1"/>
        <v>6</v>
      </c>
    </row>
    <row r="45">
      <c r="A45" s="6">
        <v>2023</v>
      </c>
      <c r="B45" s="7" t="s">
        <v>35</v>
      </c>
      <c r="C45" s="7" t="s">
        <v>56</v>
      </c>
      <c r="D45" s="7" t="s">
        <v>57</v>
      </c>
      <c r="E45" s="8">
        <v>-225</v>
      </c>
      <c r="F45" s="6">
        <f t="shared" si="1"/>
        <v>7</v>
      </c>
    </row>
    <row r="46">
      <c r="A46" s="6">
        <v>2023</v>
      </c>
      <c r="B46" s="7" t="s">
        <v>35</v>
      </c>
      <c r="C46" s="7" t="s">
        <v>56</v>
      </c>
      <c r="D46" s="7" t="s">
        <v>58</v>
      </c>
      <c r="E46" s="8">
        <v>-180</v>
      </c>
      <c r="F46" s="6">
        <f t="shared" si="1"/>
        <v>7</v>
      </c>
    </row>
    <row r="47">
      <c r="A47" s="6">
        <v>2023</v>
      </c>
      <c r="B47" s="7" t="s">
        <v>35</v>
      </c>
      <c r="C47" s="7" t="s">
        <v>56</v>
      </c>
      <c r="D47" s="7" t="s">
        <v>59</v>
      </c>
      <c r="E47" s="8">
        <v>-450</v>
      </c>
      <c r="F47" s="6">
        <f t="shared" si="1"/>
        <v>7</v>
      </c>
    </row>
    <row r="48">
      <c r="A48" s="6">
        <v>2023</v>
      </c>
      <c r="B48" s="7" t="s">
        <v>35</v>
      </c>
      <c r="C48" s="7" t="s">
        <v>56</v>
      </c>
      <c r="D48" s="7" t="s">
        <v>60</v>
      </c>
      <c r="E48" s="8">
        <v>-180</v>
      </c>
      <c r="F48" s="6">
        <f t="shared" si="1"/>
        <v>7</v>
      </c>
    </row>
    <row r="49">
      <c r="A49" s="6">
        <v>2023</v>
      </c>
      <c r="B49" s="7" t="s">
        <v>35</v>
      </c>
      <c r="C49" s="7" t="s">
        <v>56</v>
      </c>
      <c r="D49" s="7" t="s">
        <v>61</v>
      </c>
      <c r="E49" s="8">
        <v>-900</v>
      </c>
      <c r="F49" s="6">
        <f t="shared" si="1"/>
        <v>7</v>
      </c>
    </row>
    <row r="50">
      <c r="A50" s="6">
        <v>2023</v>
      </c>
      <c r="B50" s="7" t="s">
        <v>35</v>
      </c>
      <c r="C50" s="7" t="s">
        <v>56</v>
      </c>
      <c r="D50" s="7" t="s">
        <v>62</v>
      </c>
      <c r="E50" s="8">
        <v>-180</v>
      </c>
      <c r="F50" s="6">
        <f t="shared" si="1"/>
        <v>7</v>
      </c>
    </row>
    <row r="51">
      <c r="A51" s="6">
        <v>2023</v>
      </c>
      <c r="B51" s="7" t="s">
        <v>35</v>
      </c>
      <c r="C51" s="7" t="s">
        <v>63</v>
      </c>
      <c r="D51" s="7" t="s">
        <v>64</v>
      </c>
      <c r="E51" s="8">
        <v>-2000</v>
      </c>
      <c r="F51" s="6">
        <f t="shared" si="1"/>
        <v>8</v>
      </c>
    </row>
    <row r="52">
      <c r="A52" s="6">
        <v>2023</v>
      </c>
      <c r="B52" s="7" t="s">
        <v>35</v>
      </c>
      <c r="C52" s="7" t="s">
        <v>63</v>
      </c>
      <c r="D52" s="7" t="s">
        <v>65</v>
      </c>
      <c r="E52" s="8">
        <v>-1500</v>
      </c>
      <c r="F52" s="6">
        <f t="shared" si="1"/>
        <v>8</v>
      </c>
    </row>
    <row r="53">
      <c r="A53" s="6">
        <v>2023</v>
      </c>
      <c r="B53" s="7" t="s">
        <v>35</v>
      </c>
      <c r="C53" s="7" t="s">
        <v>63</v>
      </c>
      <c r="D53" s="7" t="s">
        <v>66</v>
      </c>
      <c r="E53" s="8">
        <v>-250</v>
      </c>
      <c r="F53" s="6">
        <f t="shared" si="1"/>
        <v>8</v>
      </c>
    </row>
    <row r="54">
      <c r="A54" s="6">
        <v>2023</v>
      </c>
      <c r="B54" s="7" t="s">
        <v>35</v>
      </c>
      <c r="C54" s="7" t="s">
        <v>67</v>
      </c>
      <c r="D54" s="7" t="s">
        <v>68</v>
      </c>
      <c r="E54" s="8">
        <v>-500</v>
      </c>
      <c r="F54" s="6">
        <f t="shared" si="1"/>
        <v>9</v>
      </c>
    </row>
    <row r="55">
      <c r="A55" s="6">
        <v>2023</v>
      </c>
      <c r="B55" s="7" t="s">
        <v>35</v>
      </c>
      <c r="C55" s="7" t="s">
        <v>67</v>
      </c>
      <c r="D55" s="7" t="s">
        <v>69</v>
      </c>
      <c r="E55" s="8">
        <v>-200</v>
      </c>
      <c r="F55" s="6">
        <f t="shared" si="1"/>
        <v>9</v>
      </c>
    </row>
    <row r="56">
      <c r="A56" s="6">
        <v>2023</v>
      </c>
      <c r="B56" s="7" t="s">
        <v>35</v>
      </c>
      <c r="C56" s="7" t="s">
        <v>67</v>
      </c>
      <c r="D56" s="7" t="s">
        <v>70</v>
      </c>
      <c r="E56" s="8">
        <v>-300</v>
      </c>
      <c r="F56" s="6">
        <f t="shared" si="1"/>
        <v>9</v>
      </c>
    </row>
    <row r="57">
      <c r="A57" s="6">
        <v>2023</v>
      </c>
      <c r="B57" s="7" t="s">
        <v>35</v>
      </c>
      <c r="C57" s="7" t="s">
        <v>67</v>
      </c>
      <c r="D57" s="7" t="s">
        <v>71</v>
      </c>
      <c r="E57" s="8">
        <v>-200</v>
      </c>
      <c r="F57" s="6">
        <f t="shared" si="1"/>
        <v>9</v>
      </c>
    </row>
    <row r="58">
      <c r="A58" s="6">
        <v>2023</v>
      </c>
      <c r="B58" s="7" t="s">
        <v>35</v>
      </c>
      <c r="C58" s="7" t="s">
        <v>67</v>
      </c>
      <c r="D58" s="7" t="s">
        <v>72</v>
      </c>
      <c r="E58" s="8">
        <v>-300</v>
      </c>
      <c r="F58" s="6">
        <f t="shared" si="1"/>
        <v>9</v>
      </c>
    </row>
    <row r="59">
      <c r="A59" s="6">
        <v>2023</v>
      </c>
      <c r="B59" s="7" t="s">
        <v>35</v>
      </c>
      <c r="C59" s="7" t="s">
        <v>73</v>
      </c>
      <c r="D59" s="7" t="s">
        <v>74</v>
      </c>
      <c r="E59" s="8">
        <v>-1650</v>
      </c>
      <c r="F59" s="6">
        <f t="shared" si="1"/>
        <v>10</v>
      </c>
    </row>
    <row r="60">
      <c r="A60" s="6">
        <v>2023</v>
      </c>
      <c r="B60" s="7" t="s">
        <v>35</v>
      </c>
      <c r="C60" s="7" t="s">
        <v>73</v>
      </c>
      <c r="D60" s="7" t="s">
        <v>75</v>
      </c>
      <c r="E60" s="8">
        <v>-51753</v>
      </c>
      <c r="F60" s="6">
        <f t="shared" si="1"/>
        <v>10</v>
      </c>
    </row>
    <row r="61">
      <c r="A61" s="6">
        <v>2023</v>
      </c>
      <c r="B61" s="7" t="s">
        <v>35</v>
      </c>
      <c r="C61" s="7" t="s">
        <v>73</v>
      </c>
      <c r="D61" s="7" t="s">
        <v>76</v>
      </c>
      <c r="E61" s="8">
        <v>-24363</v>
      </c>
      <c r="F61" s="6">
        <f t="shared" si="1"/>
        <v>10</v>
      </c>
    </row>
    <row r="62">
      <c r="A62" s="6">
        <v>2023</v>
      </c>
      <c r="B62" s="7" t="s">
        <v>35</v>
      </c>
      <c r="C62" s="7" t="s">
        <v>73</v>
      </c>
      <c r="D62" s="7" t="s">
        <v>77</v>
      </c>
      <c r="E62" s="8">
        <v>-10146</v>
      </c>
      <c r="F62" s="6">
        <f t="shared" si="1"/>
        <v>10</v>
      </c>
    </row>
    <row r="63">
      <c r="A63" s="6">
        <v>2023</v>
      </c>
      <c r="B63" s="7" t="s">
        <v>35</v>
      </c>
      <c r="C63" s="7" t="s">
        <v>73</v>
      </c>
      <c r="D63" s="7" t="s">
        <v>78</v>
      </c>
      <c r="E63" s="8">
        <v>-6542</v>
      </c>
      <c r="F63" s="6">
        <f t="shared" si="1"/>
        <v>10</v>
      </c>
    </row>
    <row r="64">
      <c r="A64" s="6">
        <v>2023</v>
      </c>
      <c r="B64" s="7" t="s">
        <v>35</v>
      </c>
      <c r="C64" s="7" t="s">
        <v>73</v>
      </c>
      <c r="D64" s="7" t="s">
        <v>79</v>
      </c>
      <c r="E64" s="8">
        <v>-3800</v>
      </c>
      <c r="F64" s="6">
        <f t="shared" si="1"/>
        <v>10</v>
      </c>
    </row>
    <row r="65">
      <c r="A65" s="6">
        <v>2023</v>
      </c>
      <c r="B65" s="7" t="s">
        <v>35</v>
      </c>
      <c r="C65" s="7" t="s">
        <v>73</v>
      </c>
      <c r="D65" s="7" t="s">
        <v>80</v>
      </c>
      <c r="E65" s="8">
        <v>-33760</v>
      </c>
      <c r="F65" s="6">
        <f t="shared" si="1"/>
        <v>10</v>
      </c>
    </row>
    <row r="66">
      <c r="A66" s="6">
        <v>2023</v>
      </c>
      <c r="B66" s="7" t="s">
        <v>35</v>
      </c>
      <c r="C66" s="7" t="s">
        <v>73</v>
      </c>
      <c r="D66" s="7" t="s">
        <v>81</v>
      </c>
      <c r="E66" s="8">
        <v>-3500</v>
      </c>
      <c r="F66" s="6">
        <f t="shared" si="1"/>
        <v>10</v>
      </c>
    </row>
    <row r="67">
      <c r="A67" s="6">
        <v>2023</v>
      </c>
      <c r="B67" s="7" t="s">
        <v>35</v>
      </c>
      <c r="C67" s="7" t="s">
        <v>82</v>
      </c>
      <c r="D67" s="7" t="s">
        <v>83</v>
      </c>
      <c r="E67" s="8">
        <v>-500</v>
      </c>
      <c r="F67" s="6">
        <f t="shared" si="1"/>
        <v>11</v>
      </c>
    </row>
    <row r="68">
      <c r="A68" s="6">
        <v>2023</v>
      </c>
      <c r="B68" s="7" t="s">
        <v>35</v>
      </c>
      <c r="C68" s="7" t="s">
        <v>82</v>
      </c>
      <c r="D68" s="7" t="s">
        <v>84</v>
      </c>
      <c r="E68" s="8">
        <v>-1000</v>
      </c>
      <c r="F68" s="6">
        <f t="shared" si="1"/>
        <v>11</v>
      </c>
    </row>
    <row r="69">
      <c r="A69" s="6">
        <v>2023</v>
      </c>
      <c r="B69" s="7" t="s">
        <v>35</v>
      </c>
      <c r="C69" s="7" t="s">
        <v>82</v>
      </c>
      <c r="D69" s="7" t="s">
        <v>85</v>
      </c>
      <c r="E69" s="8">
        <v>-1000</v>
      </c>
      <c r="F69" s="6">
        <f t="shared" si="1"/>
        <v>11</v>
      </c>
    </row>
    <row r="70">
      <c r="A70" s="6">
        <v>2023</v>
      </c>
      <c r="B70" s="7" t="s">
        <v>35</v>
      </c>
      <c r="C70" s="7" t="s">
        <v>82</v>
      </c>
      <c r="D70" s="7" t="s">
        <v>86</v>
      </c>
      <c r="E70" s="8">
        <v>-500</v>
      </c>
      <c r="F70" s="6">
        <f t="shared" si="1"/>
        <v>11</v>
      </c>
    </row>
    <row r="71">
      <c r="A71" s="6">
        <v>2023</v>
      </c>
      <c r="B71" s="7" t="s">
        <v>35</v>
      </c>
      <c r="C71" s="7" t="s">
        <v>82</v>
      </c>
      <c r="D71" s="7" t="s">
        <v>87</v>
      </c>
      <c r="E71" s="8">
        <v>-2000</v>
      </c>
      <c r="F71" s="6">
        <f t="shared" si="1"/>
        <v>11</v>
      </c>
    </row>
    <row r="72">
      <c r="A72" s="6">
        <v>2023</v>
      </c>
      <c r="B72" s="7" t="s">
        <v>35</v>
      </c>
      <c r="C72" s="7" t="s">
        <v>82</v>
      </c>
      <c r="D72" s="7" t="s">
        <v>88</v>
      </c>
      <c r="E72" s="8">
        <v>-500</v>
      </c>
      <c r="F72" s="6">
        <f t="shared" si="1"/>
        <v>11</v>
      </c>
    </row>
    <row r="73">
      <c r="A73" s="6">
        <v>2023</v>
      </c>
      <c r="B73" s="7" t="s">
        <v>35</v>
      </c>
      <c r="C73" s="7" t="s">
        <v>89</v>
      </c>
      <c r="D73" s="7" t="s">
        <v>90</v>
      </c>
      <c r="E73" s="8">
        <v>-41600</v>
      </c>
      <c r="F73" s="6">
        <f t="shared" si="1"/>
        <v>12</v>
      </c>
    </row>
    <row r="74">
      <c r="A74" s="6">
        <v>2023</v>
      </c>
      <c r="B74" s="7" t="s">
        <v>35</v>
      </c>
      <c r="C74" s="7" t="s">
        <v>89</v>
      </c>
      <c r="D74" s="7" t="s">
        <v>91</v>
      </c>
      <c r="E74" s="8">
        <v>-3182</v>
      </c>
      <c r="F74" s="6">
        <f t="shared" si="1"/>
        <v>12</v>
      </c>
    </row>
    <row r="75">
      <c r="A75" s="6">
        <v>2023</v>
      </c>
      <c r="B75" s="7" t="s">
        <v>35</v>
      </c>
      <c r="C75" s="7" t="s">
        <v>89</v>
      </c>
      <c r="D75" s="7" t="s">
        <v>92</v>
      </c>
      <c r="E75" s="8">
        <v>-1664</v>
      </c>
      <c r="F75" s="6">
        <f t="shared" ref="F75:F99" si="2">IF(C75=C74,F74,F74+1)</f>
        <v>12</v>
      </c>
    </row>
    <row r="76">
      <c r="A76" s="6">
        <v>2023</v>
      </c>
      <c r="B76" s="7" t="s">
        <v>35</v>
      </c>
      <c r="C76" s="7" t="s">
        <v>89</v>
      </c>
      <c r="D76" s="7" t="s">
        <v>93</v>
      </c>
      <c r="E76" s="8">
        <v>-1000</v>
      </c>
      <c r="F76" s="6">
        <f t="shared" si="2"/>
        <v>12</v>
      </c>
    </row>
    <row r="77">
      <c r="A77" s="6">
        <v>2023</v>
      </c>
      <c r="B77" s="7" t="s">
        <v>35</v>
      </c>
      <c r="C77" s="7" t="s">
        <v>94</v>
      </c>
      <c r="D77" s="7" t="s">
        <v>95</v>
      </c>
      <c r="E77" s="8">
        <v>-42120</v>
      </c>
      <c r="F77" s="6">
        <f t="shared" si="2"/>
        <v>13</v>
      </c>
    </row>
    <row r="78">
      <c r="A78" s="6">
        <v>2023</v>
      </c>
      <c r="B78" s="7" t="s">
        <v>35</v>
      </c>
      <c r="C78" s="7" t="s">
        <v>96</v>
      </c>
      <c r="D78" s="7" t="s">
        <v>97</v>
      </c>
      <c r="E78" s="8">
        <v>-200</v>
      </c>
      <c r="F78" s="6">
        <f t="shared" si="2"/>
        <v>14</v>
      </c>
    </row>
    <row r="79">
      <c r="A79" s="6">
        <v>2023</v>
      </c>
      <c r="B79" s="7" t="s">
        <v>35</v>
      </c>
      <c r="C79" s="7" t="s">
        <v>98</v>
      </c>
      <c r="D79" s="7" t="s">
        <v>99</v>
      </c>
      <c r="E79" s="8">
        <v>-1500</v>
      </c>
      <c r="F79" s="6">
        <f t="shared" si="2"/>
        <v>15</v>
      </c>
    </row>
    <row r="80">
      <c r="A80" s="6">
        <v>2023</v>
      </c>
      <c r="B80" s="7" t="s">
        <v>35</v>
      </c>
      <c r="C80" s="7" t="s">
        <v>98</v>
      </c>
      <c r="D80" s="7" t="s">
        <v>100</v>
      </c>
      <c r="E80" s="8">
        <v>-500</v>
      </c>
      <c r="F80" s="6">
        <f t="shared" si="2"/>
        <v>15</v>
      </c>
    </row>
    <row r="81">
      <c r="A81" s="6">
        <v>2023</v>
      </c>
      <c r="B81" s="7" t="s">
        <v>35</v>
      </c>
      <c r="C81" s="7" t="s">
        <v>98</v>
      </c>
      <c r="D81" s="7" t="s">
        <v>101</v>
      </c>
      <c r="E81" s="8">
        <v>-500</v>
      </c>
      <c r="F81" s="6">
        <f t="shared" si="2"/>
        <v>15</v>
      </c>
    </row>
    <row r="82">
      <c r="A82" s="6">
        <v>2023</v>
      </c>
      <c r="B82" s="7" t="s">
        <v>35</v>
      </c>
      <c r="C82" s="7" t="s">
        <v>98</v>
      </c>
      <c r="D82" s="7" t="s">
        <v>102</v>
      </c>
      <c r="E82" s="8">
        <v>-700</v>
      </c>
      <c r="F82" s="6">
        <f t="shared" si="2"/>
        <v>15</v>
      </c>
    </row>
    <row r="83">
      <c r="A83" s="6">
        <v>2023</v>
      </c>
      <c r="B83" s="7" t="s">
        <v>35</v>
      </c>
      <c r="C83" s="7" t="s">
        <v>103</v>
      </c>
      <c r="D83" s="7" t="s">
        <v>104</v>
      </c>
      <c r="E83" s="8">
        <v>-9000</v>
      </c>
      <c r="F83" s="6">
        <f t="shared" si="2"/>
        <v>16</v>
      </c>
    </row>
    <row r="84">
      <c r="A84" s="6">
        <v>2023</v>
      </c>
      <c r="B84" s="7" t="s">
        <v>35</v>
      </c>
      <c r="C84" s="7" t="s">
        <v>103</v>
      </c>
      <c r="D84" s="7" t="s">
        <v>105</v>
      </c>
      <c r="E84" s="8">
        <v>-37000</v>
      </c>
      <c r="F84" s="6">
        <f t="shared" si="2"/>
        <v>16</v>
      </c>
    </row>
    <row r="85">
      <c r="A85" s="6">
        <v>2023</v>
      </c>
      <c r="B85" s="7" t="s">
        <v>35</v>
      </c>
      <c r="C85" s="7" t="s">
        <v>103</v>
      </c>
      <c r="D85" s="7" t="s">
        <v>106</v>
      </c>
      <c r="E85" s="8">
        <v>-33000</v>
      </c>
      <c r="F85" s="6">
        <f t="shared" si="2"/>
        <v>16</v>
      </c>
    </row>
    <row r="86">
      <c r="A86" s="6">
        <v>2023</v>
      </c>
      <c r="B86" s="7" t="s">
        <v>35</v>
      </c>
      <c r="C86" s="7" t="s">
        <v>103</v>
      </c>
      <c r="D86" s="7" t="s">
        <v>107</v>
      </c>
      <c r="E86" s="8">
        <v>-1500</v>
      </c>
      <c r="F86" s="6">
        <f t="shared" si="2"/>
        <v>16</v>
      </c>
    </row>
    <row r="87">
      <c r="A87" s="6">
        <v>2023</v>
      </c>
      <c r="B87" s="7" t="s">
        <v>35</v>
      </c>
      <c r="C87" s="7" t="s">
        <v>103</v>
      </c>
      <c r="D87" s="7" t="s">
        <v>108</v>
      </c>
      <c r="E87" s="8">
        <v>-1000</v>
      </c>
      <c r="F87" s="6">
        <f t="shared" si="2"/>
        <v>16</v>
      </c>
    </row>
    <row r="88">
      <c r="A88" s="6">
        <v>2023</v>
      </c>
      <c r="B88" s="7" t="s">
        <v>35</v>
      </c>
      <c r="C88" s="7" t="s">
        <v>103</v>
      </c>
      <c r="D88" s="7" t="s">
        <v>109</v>
      </c>
      <c r="E88" s="8">
        <v>-2500</v>
      </c>
      <c r="F88" s="6">
        <f t="shared" si="2"/>
        <v>16</v>
      </c>
    </row>
    <row r="89">
      <c r="A89" s="6">
        <v>2023</v>
      </c>
      <c r="B89" s="7" t="s">
        <v>35</v>
      </c>
      <c r="C89" s="7" t="s">
        <v>103</v>
      </c>
      <c r="D89" s="7" t="s">
        <v>110</v>
      </c>
      <c r="E89" s="8">
        <v>-250</v>
      </c>
      <c r="F89" s="6">
        <f t="shared" si="2"/>
        <v>16</v>
      </c>
    </row>
    <row r="90">
      <c r="A90" s="6">
        <v>2023</v>
      </c>
      <c r="B90" s="7" t="s">
        <v>35</v>
      </c>
      <c r="C90" s="7" t="s">
        <v>103</v>
      </c>
      <c r="D90" s="7" t="s">
        <v>111</v>
      </c>
      <c r="E90" s="8">
        <v>-5000</v>
      </c>
      <c r="F90" s="6">
        <f t="shared" si="2"/>
        <v>16</v>
      </c>
    </row>
    <row r="91">
      <c r="A91" s="6">
        <v>2023</v>
      </c>
      <c r="B91" s="7" t="s">
        <v>35</v>
      </c>
      <c r="C91" s="7" t="s">
        <v>103</v>
      </c>
      <c r="D91" s="7" t="s">
        <v>112</v>
      </c>
      <c r="E91" s="8">
        <v>-200</v>
      </c>
      <c r="F91" s="6">
        <f t="shared" si="2"/>
        <v>16</v>
      </c>
    </row>
    <row r="92">
      <c r="A92" s="6">
        <v>2023</v>
      </c>
      <c r="B92" s="7" t="s">
        <v>35</v>
      </c>
      <c r="C92" s="7" t="s">
        <v>113</v>
      </c>
      <c r="D92" s="7" t="s">
        <v>114</v>
      </c>
      <c r="E92" s="8">
        <v>-1000</v>
      </c>
      <c r="F92" s="6">
        <f t="shared" si="2"/>
        <v>17</v>
      </c>
    </row>
    <row r="93">
      <c r="A93" s="6">
        <v>2023</v>
      </c>
      <c r="B93" s="7" t="s">
        <v>35</v>
      </c>
      <c r="C93" s="7" t="s">
        <v>113</v>
      </c>
      <c r="D93" s="7" t="s">
        <v>115</v>
      </c>
      <c r="E93" s="8">
        <v>-450</v>
      </c>
      <c r="F93" s="6">
        <f t="shared" si="2"/>
        <v>17</v>
      </c>
    </row>
    <row r="94">
      <c r="A94" s="6">
        <v>2023</v>
      </c>
      <c r="B94" s="7" t="s">
        <v>35</v>
      </c>
      <c r="C94" s="7" t="s">
        <v>113</v>
      </c>
      <c r="D94" s="7" t="s">
        <v>116</v>
      </c>
      <c r="E94" s="8">
        <v>-180</v>
      </c>
      <c r="F94" s="6">
        <f t="shared" si="2"/>
        <v>17</v>
      </c>
    </row>
    <row r="95">
      <c r="A95" s="6">
        <v>2023</v>
      </c>
      <c r="B95" s="7" t="s">
        <v>35</v>
      </c>
      <c r="C95" s="7" t="s">
        <v>113</v>
      </c>
      <c r="D95" s="7" t="s">
        <v>117</v>
      </c>
      <c r="E95" s="8">
        <v>-180</v>
      </c>
      <c r="F95" s="6">
        <f t="shared" si="2"/>
        <v>17</v>
      </c>
    </row>
    <row r="96">
      <c r="A96" s="6">
        <v>2023</v>
      </c>
      <c r="B96" s="7" t="s">
        <v>35</v>
      </c>
      <c r="C96" s="7" t="s">
        <v>118</v>
      </c>
      <c r="D96" s="7" t="s">
        <v>119</v>
      </c>
      <c r="E96" s="8">
        <v>-10000</v>
      </c>
      <c r="F96" s="6">
        <f t="shared" si="2"/>
        <v>18</v>
      </c>
    </row>
    <row r="97">
      <c r="A97" s="6">
        <v>2023</v>
      </c>
      <c r="B97" s="7" t="s">
        <v>35</v>
      </c>
      <c r="C97" s="7" t="s">
        <v>118</v>
      </c>
      <c r="D97" s="7" t="s">
        <v>120</v>
      </c>
      <c r="E97" s="8">
        <v>-14400</v>
      </c>
      <c r="F97" s="6">
        <f t="shared" si="2"/>
        <v>18</v>
      </c>
    </row>
    <row r="98">
      <c r="A98" s="6">
        <v>2023</v>
      </c>
      <c r="B98" s="7" t="s">
        <v>35</v>
      </c>
      <c r="C98" s="7" t="s">
        <v>118</v>
      </c>
      <c r="D98" s="7" t="s">
        <v>121</v>
      </c>
      <c r="E98" s="8">
        <v>-44800</v>
      </c>
      <c r="F98" s="6">
        <f t="shared" si="2"/>
        <v>18</v>
      </c>
    </row>
    <row r="99">
      <c r="A99" s="6">
        <v>2023</v>
      </c>
      <c r="B99" s="7" t="s">
        <v>35</v>
      </c>
      <c r="C99" s="7" t="s">
        <v>118</v>
      </c>
      <c r="D99" s="7" t="s">
        <v>122</v>
      </c>
      <c r="E99" s="8">
        <v>-20000</v>
      </c>
      <c r="F99" s="6">
        <f t="shared" si="2"/>
        <v>18</v>
      </c>
    </row>
    <row r="100">
      <c r="A100" s="6">
        <v>2023</v>
      </c>
      <c r="B100" s="7" t="s">
        <v>35</v>
      </c>
      <c r="C100" s="7" t="s">
        <v>118</v>
      </c>
      <c r="D100" s="7" t="s">
        <v>123</v>
      </c>
      <c r="E100" s="8">
        <v>-1600</v>
      </c>
      <c r="F100" s="6">
        <f>IF(C100=C99,F99,F99+1)</f>
        <v>18</v>
      </c>
    </row>
    <row r="101">
      <c r="A101" s="6">
        <v>2023</v>
      </c>
      <c r="B101" s="7" t="s">
        <v>35</v>
      </c>
      <c r="C101" s="7" t="s">
        <v>118</v>
      </c>
      <c r="D101" s="7" t="s">
        <v>124</v>
      </c>
      <c r="E101" s="8">
        <v>-1600</v>
      </c>
      <c r="F101" s="6">
        <f t="shared" ref="F101:F164" si="3">IF(C101=C100,F100,F100+1)</f>
        <v>18</v>
      </c>
    </row>
    <row r="102">
      <c r="A102" s="6">
        <v>2023</v>
      </c>
      <c r="B102" s="7" t="s">
        <v>35</v>
      </c>
      <c r="C102" s="7" t="s">
        <v>118</v>
      </c>
      <c r="D102" s="7" t="s">
        <v>125</v>
      </c>
      <c r="E102" s="8">
        <v>-7200</v>
      </c>
      <c r="F102" s="6">
        <f t="shared" si="3"/>
        <v>18</v>
      </c>
    </row>
    <row r="103">
      <c r="A103" s="6">
        <v>2023</v>
      </c>
      <c r="B103" s="7" t="s">
        <v>35</v>
      </c>
      <c r="C103" s="7" t="s">
        <v>118</v>
      </c>
      <c r="D103" s="7" t="s">
        <v>126</v>
      </c>
      <c r="E103" s="8">
        <v>-7200</v>
      </c>
      <c r="F103" s="6">
        <f t="shared" si="3"/>
        <v>18</v>
      </c>
    </row>
    <row r="104">
      <c r="A104" s="6">
        <v>2023</v>
      </c>
      <c r="B104" s="7" t="s">
        <v>35</v>
      </c>
      <c r="C104" s="7" t="s">
        <v>118</v>
      </c>
      <c r="D104" s="7" t="s">
        <v>127</v>
      </c>
      <c r="E104" s="8">
        <v>-10000</v>
      </c>
      <c r="F104" s="6">
        <f t="shared" si="3"/>
        <v>18</v>
      </c>
    </row>
    <row r="105">
      <c r="A105" s="6">
        <v>2023</v>
      </c>
      <c r="B105" s="7" t="s">
        <v>35</v>
      </c>
      <c r="C105" s="7" t="s">
        <v>128</v>
      </c>
      <c r="D105" s="7" t="s">
        <v>129</v>
      </c>
      <c r="E105" s="8">
        <v>-34600</v>
      </c>
      <c r="F105" s="6">
        <f t="shared" si="3"/>
        <v>19</v>
      </c>
    </row>
    <row r="106">
      <c r="A106" s="6">
        <v>2023</v>
      </c>
      <c r="B106" s="7" t="s">
        <v>35</v>
      </c>
      <c r="C106" s="7" t="s">
        <v>130</v>
      </c>
      <c r="D106" s="7" t="s">
        <v>131</v>
      </c>
      <c r="E106" s="8">
        <v>-1300</v>
      </c>
      <c r="F106" s="6">
        <f t="shared" si="3"/>
        <v>20</v>
      </c>
    </row>
    <row r="107">
      <c r="A107" s="6">
        <v>2023</v>
      </c>
      <c r="B107" s="7" t="s">
        <v>35</v>
      </c>
      <c r="C107" s="7" t="s">
        <v>130</v>
      </c>
      <c r="D107" s="7" t="s">
        <v>132</v>
      </c>
      <c r="E107" s="8">
        <v>-300</v>
      </c>
      <c r="F107" s="6">
        <f t="shared" si="3"/>
        <v>20</v>
      </c>
    </row>
    <row r="108">
      <c r="A108" s="6">
        <v>2023</v>
      </c>
      <c r="B108" s="7" t="s">
        <v>35</v>
      </c>
      <c r="C108" s="7" t="s">
        <v>130</v>
      </c>
      <c r="D108" s="7" t="s">
        <v>133</v>
      </c>
      <c r="E108" s="8">
        <v>-150</v>
      </c>
      <c r="F108" s="6">
        <f t="shared" si="3"/>
        <v>20</v>
      </c>
    </row>
    <row r="109">
      <c r="A109" s="6">
        <v>2023</v>
      </c>
      <c r="B109" s="7" t="s">
        <v>35</v>
      </c>
      <c r="C109" s="7" t="s">
        <v>130</v>
      </c>
      <c r="D109" s="7" t="s">
        <v>134</v>
      </c>
      <c r="E109" s="8">
        <v>-150</v>
      </c>
      <c r="F109" s="6">
        <f t="shared" si="3"/>
        <v>20</v>
      </c>
    </row>
    <row r="110">
      <c r="A110" s="6">
        <v>2023</v>
      </c>
      <c r="B110" s="7" t="s">
        <v>35</v>
      </c>
      <c r="C110" s="7" t="s">
        <v>135</v>
      </c>
      <c r="D110" s="7" t="s">
        <v>136</v>
      </c>
      <c r="E110" s="8">
        <v>-8000</v>
      </c>
      <c r="F110" s="6">
        <f t="shared" si="3"/>
        <v>21</v>
      </c>
    </row>
    <row r="111">
      <c r="A111" s="6">
        <v>2023</v>
      </c>
      <c r="B111" s="7" t="s">
        <v>35</v>
      </c>
      <c r="C111" s="7" t="s">
        <v>135</v>
      </c>
      <c r="D111" s="7" t="s">
        <v>137</v>
      </c>
      <c r="E111" s="8">
        <v>-200</v>
      </c>
      <c r="F111" s="6">
        <f t="shared" si="3"/>
        <v>21</v>
      </c>
    </row>
    <row r="112">
      <c r="A112" s="6">
        <v>2023</v>
      </c>
      <c r="B112" s="7" t="s">
        <v>35</v>
      </c>
      <c r="C112" s="7" t="s">
        <v>135</v>
      </c>
      <c r="D112" s="7" t="s">
        <v>138</v>
      </c>
      <c r="E112" s="8">
        <v>-1000</v>
      </c>
      <c r="F112" s="6">
        <f t="shared" si="3"/>
        <v>21</v>
      </c>
    </row>
    <row r="113">
      <c r="A113" s="6">
        <v>2023</v>
      </c>
      <c r="B113" s="7" t="s">
        <v>35</v>
      </c>
      <c r="C113" s="7" t="s">
        <v>135</v>
      </c>
      <c r="D113" s="7" t="s">
        <v>139</v>
      </c>
      <c r="E113" s="8">
        <v>-500</v>
      </c>
      <c r="F113" s="6">
        <f t="shared" si="3"/>
        <v>21</v>
      </c>
    </row>
    <row r="114">
      <c r="A114" s="6">
        <v>2023</v>
      </c>
      <c r="B114" s="7" t="s">
        <v>35</v>
      </c>
      <c r="C114" s="7" t="s">
        <v>140</v>
      </c>
      <c r="D114" s="7" t="s">
        <v>141</v>
      </c>
      <c r="E114" s="8">
        <v>-11600</v>
      </c>
      <c r="F114" s="6">
        <f t="shared" si="3"/>
        <v>22</v>
      </c>
    </row>
    <row r="115">
      <c r="A115" s="6">
        <v>2023</v>
      </c>
      <c r="B115" s="7" t="s">
        <v>35</v>
      </c>
      <c r="C115" s="7" t="s">
        <v>140</v>
      </c>
      <c r="D115" s="7" t="s">
        <v>142</v>
      </c>
      <c r="E115" s="8">
        <v>-100</v>
      </c>
      <c r="F115" s="6">
        <f t="shared" si="3"/>
        <v>22</v>
      </c>
    </row>
    <row r="116">
      <c r="A116" s="6">
        <v>2023</v>
      </c>
      <c r="B116" s="7" t="s">
        <v>35</v>
      </c>
      <c r="C116" s="7" t="s">
        <v>143</v>
      </c>
      <c r="D116" s="7" t="s">
        <v>144</v>
      </c>
      <c r="E116" s="8">
        <v>-2000</v>
      </c>
      <c r="F116" s="6">
        <f t="shared" si="3"/>
        <v>23</v>
      </c>
    </row>
    <row r="117">
      <c r="A117" s="6">
        <v>2023</v>
      </c>
      <c r="B117" s="7" t="s">
        <v>35</v>
      </c>
      <c r="C117" s="7" t="s">
        <v>143</v>
      </c>
      <c r="D117" s="7" t="s">
        <v>145</v>
      </c>
      <c r="E117" s="8">
        <v>-122</v>
      </c>
      <c r="F117" s="6">
        <f t="shared" si="3"/>
        <v>23</v>
      </c>
    </row>
    <row r="118">
      <c r="A118" s="6">
        <v>2023</v>
      </c>
      <c r="B118" s="7" t="s">
        <v>35</v>
      </c>
      <c r="C118" s="7" t="s">
        <v>143</v>
      </c>
      <c r="D118" s="7" t="s">
        <v>146</v>
      </c>
      <c r="E118" s="8">
        <v>-3660</v>
      </c>
      <c r="F118" s="6">
        <f t="shared" si="3"/>
        <v>23</v>
      </c>
    </row>
    <row r="119">
      <c r="A119" s="6">
        <v>2023</v>
      </c>
      <c r="B119" s="7" t="s">
        <v>35</v>
      </c>
      <c r="C119" s="7" t="s">
        <v>143</v>
      </c>
      <c r="D119" s="7" t="s">
        <v>147</v>
      </c>
      <c r="E119" s="8">
        <v>-122</v>
      </c>
      <c r="F119" s="6">
        <f t="shared" si="3"/>
        <v>23</v>
      </c>
    </row>
    <row r="120">
      <c r="A120" s="6">
        <v>2023</v>
      </c>
      <c r="B120" s="7" t="s">
        <v>35</v>
      </c>
      <c r="C120" s="7" t="s">
        <v>143</v>
      </c>
      <c r="D120" s="7" t="s">
        <v>148</v>
      </c>
      <c r="E120" s="8">
        <v>-610</v>
      </c>
      <c r="F120" s="6">
        <f t="shared" si="3"/>
        <v>23</v>
      </c>
    </row>
    <row r="121">
      <c r="A121" s="6">
        <v>2023</v>
      </c>
      <c r="B121" s="7" t="s">
        <v>35</v>
      </c>
      <c r="C121" s="7" t="s">
        <v>143</v>
      </c>
      <c r="D121" s="7" t="s">
        <v>149</v>
      </c>
      <c r="E121" s="8">
        <v>-500</v>
      </c>
      <c r="F121" s="6">
        <f t="shared" si="3"/>
        <v>23</v>
      </c>
    </row>
    <row r="122">
      <c r="A122" s="6">
        <v>2023</v>
      </c>
      <c r="B122" s="7" t="s">
        <v>35</v>
      </c>
      <c r="C122" s="7" t="s">
        <v>143</v>
      </c>
      <c r="D122" s="7" t="s">
        <v>150</v>
      </c>
      <c r="E122" s="8">
        <v>-1000</v>
      </c>
      <c r="F122" s="6">
        <f t="shared" si="3"/>
        <v>23</v>
      </c>
    </row>
    <row r="123">
      <c r="A123" s="6">
        <v>2023</v>
      </c>
      <c r="B123" s="7" t="s">
        <v>35</v>
      </c>
      <c r="C123" s="7" t="s">
        <v>143</v>
      </c>
      <c r="D123" s="7" t="s">
        <v>151</v>
      </c>
      <c r="E123" s="8">
        <v>-4545</v>
      </c>
      <c r="F123" s="6">
        <f t="shared" si="3"/>
        <v>23</v>
      </c>
    </row>
    <row r="124">
      <c r="A124" s="6">
        <v>2023</v>
      </c>
      <c r="B124" s="7" t="s">
        <v>35</v>
      </c>
      <c r="C124" s="7" t="s">
        <v>143</v>
      </c>
      <c r="D124" s="7" t="s">
        <v>152</v>
      </c>
      <c r="E124" s="8">
        <v>-12997</v>
      </c>
      <c r="F124" s="6">
        <f t="shared" si="3"/>
        <v>23</v>
      </c>
    </row>
    <row r="125">
      <c r="A125" s="6">
        <v>2023</v>
      </c>
      <c r="B125" s="7" t="s">
        <v>35</v>
      </c>
      <c r="C125" s="7" t="s">
        <v>143</v>
      </c>
      <c r="D125" s="7" t="s">
        <v>153</v>
      </c>
      <c r="E125" s="8">
        <v>-16819</v>
      </c>
      <c r="F125" s="6">
        <f t="shared" si="3"/>
        <v>23</v>
      </c>
    </row>
    <row r="126">
      <c r="A126" s="6">
        <v>2023</v>
      </c>
      <c r="B126" s="7" t="s">
        <v>35</v>
      </c>
      <c r="C126" s="7" t="s">
        <v>143</v>
      </c>
      <c r="D126" s="7" t="s">
        <v>154</v>
      </c>
      <c r="E126" s="8">
        <v>-671</v>
      </c>
      <c r="F126" s="6">
        <f t="shared" si="3"/>
        <v>23</v>
      </c>
    </row>
    <row r="127">
      <c r="A127" s="6">
        <v>2023</v>
      </c>
      <c r="B127" s="7" t="s">
        <v>35</v>
      </c>
      <c r="C127" s="7" t="s">
        <v>143</v>
      </c>
      <c r="D127" s="7" t="s">
        <v>155</v>
      </c>
      <c r="E127" s="8">
        <v>-7320</v>
      </c>
      <c r="F127" s="6">
        <f t="shared" si="3"/>
        <v>23</v>
      </c>
    </row>
    <row r="128">
      <c r="A128" s="6">
        <v>2023</v>
      </c>
      <c r="B128" s="7" t="s">
        <v>35</v>
      </c>
      <c r="C128" s="7" t="s">
        <v>143</v>
      </c>
      <c r="D128" s="7" t="s">
        <v>156</v>
      </c>
      <c r="E128" s="8">
        <v>-11346</v>
      </c>
      <c r="F128" s="6">
        <f t="shared" si="3"/>
        <v>23</v>
      </c>
    </row>
    <row r="129">
      <c r="A129" s="6">
        <v>2023</v>
      </c>
      <c r="B129" s="7" t="s">
        <v>35</v>
      </c>
      <c r="C129" s="7" t="s">
        <v>143</v>
      </c>
      <c r="D129" s="7" t="s">
        <v>157</v>
      </c>
      <c r="E129" s="8">
        <v>-610</v>
      </c>
      <c r="F129" s="6">
        <f t="shared" si="3"/>
        <v>23</v>
      </c>
    </row>
    <row r="130">
      <c r="A130" s="6">
        <v>2023</v>
      </c>
      <c r="B130" s="7" t="s">
        <v>35</v>
      </c>
      <c r="C130" s="7" t="s">
        <v>143</v>
      </c>
      <c r="D130" s="7" t="s">
        <v>158</v>
      </c>
      <c r="E130" s="8">
        <v>-1400</v>
      </c>
      <c r="F130" s="6">
        <f t="shared" si="3"/>
        <v>23</v>
      </c>
    </row>
    <row r="131">
      <c r="A131" s="6">
        <v>2023</v>
      </c>
      <c r="B131" s="7" t="s">
        <v>35</v>
      </c>
      <c r="C131" s="7" t="s">
        <v>143</v>
      </c>
      <c r="D131" s="7" t="s">
        <v>159</v>
      </c>
      <c r="E131" s="8">
        <v>-1000</v>
      </c>
      <c r="F131" s="6">
        <f t="shared" si="3"/>
        <v>23</v>
      </c>
    </row>
    <row r="132">
      <c r="A132" s="6">
        <v>2023</v>
      </c>
      <c r="B132" s="7" t="s">
        <v>35</v>
      </c>
      <c r="C132" s="7" t="s">
        <v>143</v>
      </c>
      <c r="D132" s="7" t="s">
        <v>160</v>
      </c>
      <c r="E132" s="8">
        <v>-12000</v>
      </c>
      <c r="F132" s="6">
        <f t="shared" si="3"/>
        <v>23</v>
      </c>
    </row>
    <row r="133">
      <c r="A133" s="6">
        <v>2023</v>
      </c>
      <c r="B133" s="7" t="s">
        <v>35</v>
      </c>
      <c r="C133" s="7" t="s">
        <v>143</v>
      </c>
      <c r="D133" s="7" t="s">
        <v>161</v>
      </c>
      <c r="E133" s="8">
        <v>-26300</v>
      </c>
      <c r="F133" s="6">
        <f t="shared" si="3"/>
        <v>23</v>
      </c>
    </row>
    <row r="134">
      <c r="A134" s="6">
        <v>2023</v>
      </c>
      <c r="B134" s="7" t="s">
        <v>35</v>
      </c>
      <c r="C134" s="7" t="s">
        <v>143</v>
      </c>
      <c r="D134" s="7" t="s">
        <v>162</v>
      </c>
      <c r="E134" s="8">
        <v>-8000</v>
      </c>
      <c r="F134" s="6">
        <f t="shared" si="3"/>
        <v>23</v>
      </c>
    </row>
    <row r="135">
      <c r="A135" s="6">
        <v>2023</v>
      </c>
      <c r="B135" s="7" t="s">
        <v>35</v>
      </c>
      <c r="C135" s="7" t="s">
        <v>143</v>
      </c>
      <c r="D135" s="7" t="s">
        <v>163</v>
      </c>
      <c r="E135" s="8">
        <v>-30900</v>
      </c>
      <c r="F135" s="6">
        <f t="shared" si="3"/>
        <v>23</v>
      </c>
    </row>
    <row r="136">
      <c r="A136" s="6">
        <v>2023</v>
      </c>
      <c r="B136" s="7" t="s">
        <v>35</v>
      </c>
      <c r="C136" s="7" t="s">
        <v>143</v>
      </c>
      <c r="D136" s="7" t="s">
        <v>164</v>
      </c>
      <c r="E136" s="8">
        <v>-2200</v>
      </c>
      <c r="F136" s="6">
        <f t="shared" si="3"/>
        <v>23</v>
      </c>
    </row>
    <row r="137">
      <c r="A137" s="6">
        <v>2023</v>
      </c>
      <c r="B137" s="7" t="s">
        <v>35</v>
      </c>
      <c r="C137" s="7" t="s">
        <v>143</v>
      </c>
      <c r="D137" s="7" t="s">
        <v>165</v>
      </c>
      <c r="E137" s="8">
        <v>-3500</v>
      </c>
      <c r="F137" s="6">
        <f t="shared" si="3"/>
        <v>23</v>
      </c>
    </row>
    <row r="138">
      <c r="A138" s="6">
        <v>2023</v>
      </c>
      <c r="B138" s="7" t="s">
        <v>35</v>
      </c>
      <c r="C138" s="7" t="s">
        <v>143</v>
      </c>
      <c r="D138" s="7" t="s">
        <v>166</v>
      </c>
      <c r="E138" s="8">
        <v>-2500</v>
      </c>
      <c r="F138" s="6">
        <f t="shared" si="3"/>
        <v>23</v>
      </c>
    </row>
    <row r="139">
      <c r="A139" s="6">
        <v>2023</v>
      </c>
      <c r="B139" s="7" t="s">
        <v>35</v>
      </c>
      <c r="C139" s="7" t="s">
        <v>143</v>
      </c>
      <c r="D139" s="7" t="s">
        <v>167</v>
      </c>
      <c r="E139" s="8">
        <v>-2500</v>
      </c>
      <c r="F139" s="6">
        <f t="shared" si="3"/>
        <v>23</v>
      </c>
    </row>
    <row r="140">
      <c r="A140" s="6">
        <v>2023</v>
      </c>
      <c r="B140" s="7" t="s">
        <v>35</v>
      </c>
      <c r="C140" s="7" t="s">
        <v>143</v>
      </c>
      <c r="D140" s="7" t="s">
        <v>168</v>
      </c>
      <c r="E140" s="8">
        <v>-3800</v>
      </c>
      <c r="F140" s="6">
        <f t="shared" si="3"/>
        <v>23</v>
      </c>
    </row>
    <row r="141">
      <c r="A141" s="6">
        <v>2023</v>
      </c>
      <c r="B141" s="7" t="s">
        <v>35</v>
      </c>
      <c r="C141" s="7" t="s">
        <v>143</v>
      </c>
      <c r="D141" s="7" t="s">
        <v>169</v>
      </c>
      <c r="E141" s="8">
        <v>-1000</v>
      </c>
      <c r="F141" s="6">
        <f t="shared" si="3"/>
        <v>23</v>
      </c>
    </row>
    <row r="142">
      <c r="A142" s="6">
        <v>2023</v>
      </c>
      <c r="B142" s="7" t="s">
        <v>35</v>
      </c>
      <c r="C142" s="7" t="s">
        <v>143</v>
      </c>
      <c r="D142" s="7" t="s">
        <v>170</v>
      </c>
      <c r="E142" s="8">
        <v>-20000</v>
      </c>
      <c r="F142" s="6">
        <f t="shared" si="3"/>
        <v>23</v>
      </c>
    </row>
    <row r="143">
      <c r="A143" s="6">
        <v>2023</v>
      </c>
      <c r="B143" s="7" t="s">
        <v>35</v>
      </c>
      <c r="C143" s="7" t="s">
        <v>143</v>
      </c>
      <c r="D143" s="7" t="s">
        <v>171</v>
      </c>
      <c r="E143" s="8">
        <v>-500</v>
      </c>
      <c r="F143" s="6">
        <f t="shared" si="3"/>
        <v>23</v>
      </c>
    </row>
    <row r="144">
      <c r="A144" s="6">
        <v>2023</v>
      </c>
      <c r="B144" s="7" t="s">
        <v>35</v>
      </c>
      <c r="C144" s="7" t="s">
        <v>172</v>
      </c>
      <c r="D144" s="7" t="s">
        <v>173</v>
      </c>
      <c r="E144" s="8">
        <v>-7449</v>
      </c>
      <c r="F144" s="6">
        <f t="shared" si="3"/>
        <v>24</v>
      </c>
    </row>
    <row r="145">
      <c r="A145" s="6">
        <v>2023</v>
      </c>
      <c r="B145" s="7" t="s">
        <v>35</v>
      </c>
      <c r="C145" s="7" t="s">
        <v>172</v>
      </c>
      <c r="D145" s="7" t="s">
        <v>174</v>
      </c>
      <c r="E145" s="8">
        <v>-93167</v>
      </c>
      <c r="F145" s="6">
        <f t="shared" si="3"/>
        <v>24</v>
      </c>
    </row>
    <row r="146">
      <c r="A146" s="6">
        <v>2023</v>
      </c>
      <c r="B146" s="7" t="s">
        <v>35</v>
      </c>
      <c r="C146" s="7" t="s">
        <v>172</v>
      </c>
      <c r="D146" s="7" t="s">
        <v>175</v>
      </c>
      <c r="E146" s="8">
        <v>-11000</v>
      </c>
      <c r="F146" s="6">
        <f t="shared" si="3"/>
        <v>24</v>
      </c>
    </row>
    <row r="147">
      <c r="A147" s="6">
        <v>2023</v>
      </c>
      <c r="B147" s="7" t="s">
        <v>35</v>
      </c>
      <c r="C147" s="7" t="s">
        <v>172</v>
      </c>
      <c r="D147" s="7" t="s">
        <v>176</v>
      </c>
      <c r="E147" s="8">
        <v>-3895</v>
      </c>
      <c r="F147" s="6">
        <f t="shared" si="3"/>
        <v>24</v>
      </c>
    </row>
    <row r="148">
      <c r="A148" s="6">
        <v>2023</v>
      </c>
      <c r="B148" s="7" t="s">
        <v>35</v>
      </c>
      <c r="C148" s="7" t="s">
        <v>172</v>
      </c>
      <c r="D148" s="7" t="s">
        <v>177</v>
      </c>
      <c r="E148" s="8">
        <v>-500</v>
      </c>
      <c r="F148" s="6">
        <f t="shared" si="3"/>
        <v>24</v>
      </c>
    </row>
    <row r="149">
      <c r="A149" s="6">
        <v>2023</v>
      </c>
      <c r="B149" s="7" t="s">
        <v>35</v>
      </c>
      <c r="C149" s="7" t="s">
        <v>178</v>
      </c>
      <c r="D149" s="7" t="s">
        <v>179</v>
      </c>
      <c r="E149" s="8">
        <v>-200</v>
      </c>
      <c r="F149" s="6">
        <f t="shared" si="3"/>
        <v>25</v>
      </c>
    </row>
    <row r="150">
      <c r="A150" s="6">
        <v>2023</v>
      </c>
      <c r="B150" s="7" t="s">
        <v>35</v>
      </c>
      <c r="C150" s="7" t="s">
        <v>178</v>
      </c>
      <c r="D150" s="7" t="s">
        <v>180</v>
      </c>
      <c r="E150" s="8">
        <v>-700</v>
      </c>
      <c r="F150" s="6">
        <f t="shared" si="3"/>
        <v>25</v>
      </c>
    </row>
    <row r="151">
      <c r="A151" s="6">
        <v>2023</v>
      </c>
      <c r="B151" s="7" t="s">
        <v>35</v>
      </c>
      <c r="C151" s="7" t="s">
        <v>178</v>
      </c>
      <c r="D151" s="7" t="s">
        <v>181</v>
      </c>
      <c r="E151" s="8">
        <v>-5000</v>
      </c>
      <c r="F151" s="6">
        <f t="shared" si="3"/>
        <v>25</v>
      </c>
    </row>
    <row r="152">
      <c r="A152" s="6">
        <v>2023</v>
      </c>
      <c r="B152" s="7" t="s">
        <v>35</v>
      </c>
      <c r="C152" s="7" t="s">
        <v>178</v>
      </c>
      <c r="D152" s="7" t="s">
        <v>182</v>
      </c>
      <c r="E152" s="8">
        <v>-3600</v>
      </c>
      <c r="F152" s="6">
        <f t="shared" si="3"/>
        <v>25</v>
      </c>
    </row>
    <row r="153">
      <c r="A153" s="6">
        <v>2023</v>
      </c>
      <c r="B153" s="7" t="s">
        <v>35</v>
      </c>
      <c r="C153" s="7" t="s">
        <v>178</v>
      </c>
      <c r="D153" s="7" t="s">
        <v>183</v>
      </c>
      <c r="E153" s="8">
        <v>-200</v>
      </c>
      <c r="F153" s="6">
        <f t="shared" si="3"/>
        <v>25</v>
      </c>
    </row>
    <row r="154">
      <c r="A154" s="6">
        <v>2023</v>
      </c>
      <c r="B154" s="7" t="s">
        <v>35</v>
      </c>
      <c r="C154" s="7" t="s">
        <v>178</v>
      </c>
      <c r="D154" s="7" t="s">
        <v>184</v>
      </c>
      <c r="E154" s="8">
        <v>-200</v>
      </c>
      <c r="F154" s="6">
        <f t="shared" si="3"/>
        <v>25</v>
      </c>
    </row>
    <row r="155">
      <c r="A155" s="6">
        <v>2023</v>
      </c>
      <c r="B155" s="7" t="s">
        <v>35</v>
      </c>
      <c r="C155" s="7" t="s">
        <v>178</v>
      </c>
      <c r="D155" s="7" t="s">
        <v>185</v>
      </c>
      <c r="E155" s="8">
        <v>-1000</v>
      </c>
      <c r="F155" s="6">
        <f t="shared" si="3"/>
        <v>25</v>
      </c>
    </row>
    <row r="156">
      <c r="A156" s="6">
        <v>2023</v>
      </c>
      <c r="B156" s="7" t="s">
        <v>35</v>
      </c>
      <c r="C156" s="7" t="s">
        <v>178</v>
      </c>
      <c r="D156" s="7" t="s">
        <v>186</v>
      </c>
      <c r="E156" s="8">
        <v>-200</v>
      </c>
      <c r="F156" s="6">
        <f t="shared" si="3"/>
        <v>25</v>
      </c>
    </row>
    <row r="157">
      <c r="A157" s="6">
        <v>2023</v>
      </c>
      <c r="B157" s="7" t="s">
        <v>35</v>
      </c>
      <c r="C157" s="7" t="s">
        <v>178</v>
      </c>
      <c r="D157" s="7" t="s">
        <v>187</v>
      </c>
      <c r="E157" s="8">
        <v>-200</v>
      </c>
      <c r="F157" s="6">
        <f t="shared" si="3"/>
        <v>25</v>
      </c>
    </row>
    <row r="158">
      <c r="A158" s="6">
        <v>2023</v>
      </c>
      <c r="B158" s="7" t="s">
        <v>35</v>
      </c>
      <c r="C158" s="7" t="s">
        <v>178</v>
      </c>
      <c r="D158" s="7" t="s">
        <v>188</v>
      </c>
      <c r="E158" s="8">
        <v>-200</v>
      </c>
      <c r="F158" s="6">
        <f t="shared" si="3"/>
        <v>25</v>
      </c>
    </row>
    <row r="159">
      <c r="A159" s="6">
        <v>2023</v>
      </c>
      <c r="B159" s="7" t="s">
        <v>35</v>
      </c>
      <c r="C159" s="7" t="s">
        <v>178</v>
      </c>
      <c r="D159" s="7" t="s">
        <v>189</v>
      </c>
      <c r="E159" s="8">
        <v>-2400</v>
      </c>
      <c r="F159" s="6">
        <f t="shared" si="3"/>
        <v>25</v>
      </c>
    </row>
    <row r="160">
      <c r="A160" s="6">
        <v>2023</v>
      </c>
      <c r="B160" s="7" t="s">
        <v>35</v>
      </c>
      <c r="C160" s="7" t="s">
        <v>178</v>
      </c>
      <c r="D160" s="7" t="s">
        <v>190</v>
      </c>
      <c r="E160" s="8">
        <v>-300</v>
      </c>
      <c r="F160" s="6">
        <f t="shared" si="3"/>
        <v>25</v>
      </c>
    </row>
    <row r="161">
      <c r="A161" s="6">
        <v>2023</v>
      </c>
      <c r="B161" s="7" t="s">
        <v>35</v>
      </c>
      <c r="C161" s="7" t="s">
        <v>178</v>
      </c>
      <c r="D161" s="7" t="s">
        <v>191</v>
      </c>
      <c r="E161" s="8">
        <v>-200</v>
      </c>
      <c r="F161" s="6">
        <f t="shared" si="3"/>
        <v>25</v>
      </c>
    </row>
    <row r="162">
      <c r="A162" s="6">
        <v>2023</v>
      </c>
      <c r="B162" s="7" t="s">
        <v>35</v>
      </c>
      <c r="C162" s="7" t="s">
        <v>178</v>
      </c>
      <c r="D162" s="7" t="s">
        <v>192</v>
      </c>
      <c r="E162" s="8">
        <v>-100</v>
      </c>
      <c r="F162" s="6">
        <f t="shared" si="3"/>
        <v>25</v>
      </c>
    </row>
    <row r="163">
      <c r="A163" s="6">
        <v>2023</v>
      </c>
      <c r="B163" s="7" t="s">
        <v>35</v>
      </c>
      <c r="C163" s="7" t="s">
        <v>178</v>
      </c>
      <c r="D163" s="7" t="s">
        <v>193</v>
      </c>
      <c r="E163" s="8">
        <v>-9000</v>
      </c>
      <c r="F163" s="6">
        <f t="shared" si="3"/>
        <v>25</v>
      </c>
    </row>
    <row r="164">
      <c r="A164" s="6">
        <v>2023</v>
      </c>
      <c r="B164" s="7" t="s">
        <v>35</v>
      </c>
      <c r="C164" s="7" t="s">
        <v>178</v>
      </c>
      <c r="D164" s="7" t="s">
        <v>194</v>
      </c>
      <c r="E164" s="8">
        <v>0</v>
      </c>
      <c r="F164" s="6">
        <f t="shared" si="3"/>
        <v>25</v>
      </c>
    </row>
    <row r="165">
      <c r="A165" s="6">
        <v>2023</v>
      </c>
      <c r="B165" s="7" t="s">
        <v>35</v>
      </c>
      <c r="C165" s="7" t="s">
        <v>178</v>
      </c>
      <c r="D165" s="7" t="s">
        <v>194</v>
      </c>
      <c r="E165" s="8">
        <v>-1100</v>
      </c>
      <c r="F165" s="6">
        <f t="shared" ref="F165:F228" si="4">IF(C165=C164,F164,F164+1)</f>
        <v>25</v>
      </c>
    </row>
    <row r="166">
      <c r="A166" s="6">
        <v>2023</v>
      </c>
      <c r="B166" s="7" t="s">
        <v>35</v>
      </c>
      <c r="C166" s="7" t="s">
        <v>178</v>
      </c>
      <c r="D166" s="7" t="s">
        <v>195</v>
      </c>
      <c r="E166" s="8">
        <v>0</v>
      </c>
      <c r="F166" s="6">
        <f t="shared" si="4"/>
        <v>25</v>
      </c>
    </row>
    <row r="167">
      <c r="A167" s="6">
        <v>2023</v>
      </c>
      <c r="B167" s="7" t="s">
        <v>35</v>
      </c>
      <c r="C167" s="7" t="s">
        <v>178</v>
      </c>
      <c r="D167" s="7" t="s">
        <v>195</v>
      </c>
      <c r="E167" s="8">
        <v>-5000</v>
      </c>
      <c r="F167" s="6">
        <f t="shared" si="4"/>
        <v>25</v>
      </c>
    </row>
    <row r="168">
      <c r="A168" s="6">
        <v>2023</v>
      </c>
      <c r="B168" s="7" t="s">
        <v>35</v>
      </c>
      <c r="C168" s="7" t="s">
        <v>178</v>
      </c>
      <c r="D168" s="7" t="s">
        <v>196</v>
      </c>
      <c r="E168" s="8">
        <v>-13000</v>
      </c>
      <c r="F168" s="6">
        <f t="shared" si="4"/>
        <v>25</v>
      </c>
    </row>
    <row r="169">
      <c r="A169" s="6">
        <v>2023</v>
      </c>
      <c r="B169" s="7" t="s">
        <v>35</v>
      </c>
      <c r="C169" s="7" t="s">
        <v>178</v>
      </c>
      <c r="D169" s="7" t="s">
        <v>197</v>
      </c>
      <c r="E169" s="8">
        <v>-3000</v>
      </c>
      <c r="F169" s="6">
        <f t="shared" si="4"/>
        <v>25</v>
      </c>
    </row>
    <row r="170">
      <c r="A170" s="6">
        <v>2023</v>
      </c>
      <c r="B170" s="7" t="s">
        <v>35</v>
      </c>
      <c r="C170" s="7" t="s">
        <v>178</v>
      </c>
      <c r="D170" s="7" t="s">
        <v>198</v>
      </c>
      <c r="E170" s="8">
        <v>-1500</v>
      </c>
      <c r="F170" s="6">
        <f t="shared" si="4"/>
        <v>25</v>
      </c>
    </row>
    <row r="171">
      <c r="A171" s="6">
        <v>2023</v>
      </c>
      <c r="B171" s="7" t="s">
        <v>35</v>
      </c>
      <c r="C171" s="7" t="s">
        <v>178</v>
      </c>
      <c r="D171" s="7" t="s">
        <v>199</v>
      </c>
      <c r="E171" s="8">
        <v>-200</v>
      </c>
      <c r="F171" s="6">
        <f t="shared" si="4"/>
        <v>25</v>
      </c>
    </row>
    <row r="172">
      <c r="A172" s="6">
        <v>2023</v>
      </c>
      <c r="B172" s="7" t="s">
        <v>35</v>
      </c>
      <c r="C172" s="7" t="s">
        <v>178</v>
      </c>
      <c r="D172" s="7" t="s">
        <v>200</v>
      </c>
      <c r="E172" s="8">
        <v>-1300</v>
      </c>
      <c r="F172" s="6">
        <f t="shared" si="4"/>
        <v>25</v>
      </c>
    </row>
    <row r="173">
      <c r="A173" s="6">
        <v>2023</v>
      </c>
      <c r="B173" s="7" t="s">
        <v>35</v>
      </c>
      <c r="C173" s="7" t="s">
        <v>178</v>
      </c>
      <c r="D173" s="7" t="s">
        <v>201</v>
      </c>
      <c r="E173" s="8">
        <v>-2000</v>
      </c>
      <c r="F173" s="6">
        <f t="shared" si="4"/>
        <v>25</v>
      </c>
    </row>
    <row r="174">
      <c r="A174" s="6">
        <v>2023</v>
      </c>
      <c r="B174" s="7" t="s">
        <v>35</v>
      </c>
      <c r="C174" s="7" t="s">
        <v>178</v>
      </c>
      <c r="D174" s="7" t="s">
        <v>202</v>
      </c>
      <c r="E174" s="8">
        <v>-910</v>
      </c>
      <c r="F174" s="6">
        <f t="shared" si="4"/>
        <v>25</v>
      </c>
    </row>
    <row r="175">
      <c r="A175" s="6">
        <v>2023</v>
      </c>
      <c r="B175" s="7" t="s">
        <v>35</v>
      </c>
      <c r="C175" s="7" t="s">
        <v>203</v>
      </c>
      <c r="D175" s="7" t="s">
        <v>204</v>
      </c>
      <c r="E175" s="8">
        <v>-3786</v>
      </c>
      <c r="F175" s="6">
        <f t="shared" si="4"/>
        <v>26</v>
      </c>
    </row>
    <row r="176">
      <c r="A176" s="6">
        <v>2023</v>
      </c>
      <c r="B176" s="7" t="s">
        <v>35</v>
      </c>
      <c r="C176" s="7" t="s">
        <v>203</v>
      </c>
      <c r="D176" s="7" t="s">
        <v>205</v>
      </c>
      <c r="E176" s="8">
        <v>-49502</v>
      </c>
      <c r="F176" s="6">
        <f t="shared" si="4"/>
        <v>26</v>
      </c>
    </row>
    <row r="177">
      <c r="A177" s="6">
        <v>2023</v>
      </c>
      <c r="B177" s="7" t="s">
        <v>35</v>
      </c>
      <c r="C177" s="7" t="s">
        <v>203</v>
      </c>
      <c r="D177" s="7" t="s">
        <v>206</v>
      </c>
      <c r="E177" s="8">
        <v>-1000</v>
      </c>
      <c r="F177" s="6">
        <f t="shared" si="4"/>
        <v>26</v>
      </c>
    </row>
    <row r="178">
      <c r="A178" s="6">
        <v>2023</v>
      </c>
      <c r="B178" s="7" t="s">
        <v>35</v>
      </c>
      <c r="C178" s="7" t="s">
        <v>207</v>
      </c>
      <c r="D178" s="7" t="s">
        <v>208</v>
      </c>
      <c r="E178" s="8">
        <v>-2200</v>
      </c>
      <c r="F178" s="6">
        <f t="shared" si="4"/>
        <v>27</v>
      </c>
    </row>
    <row r="179">
      <c r="A179" s="6">
        <v>2023</v>
      </c>
      <c r="B179" s="7" t="s">
        <v>35</v>
      </c>
      <c r="C179" s="7" t="s">
        <v>207</v>
      </c>
      <c r="D179" s="7" t="s">
        <v>209</v>
      </c>
      <c r="E179" s="8">
        <v>-57500</v>
      </c>
      <c r="F179" s="6">
        <f t="shared" si="4"/>
        <v>27</v>
      </c>
    </row>
    <row r="180">
      <c r="A180" s="6">
        <v>2023</v>
      </c>
      <c r="B180" s="7" t="s">
        <v>35</v>
      </c>
      <c r="C180" s="7" t="s">
        <v>207</v>
      </c>
      <c r="D180" s="7" t="s">
        <v>210</v>
      </c>
      <c r="E180" s="8">
        <v>-10000</v>
      </c>
      <c r="F180" s="6">
        <f t="shared" si="4"/>
        <v>27</v>
      </c>
    </row>
    <row r="181">
      <c r="A181" s="6">
        <v>2023</v>
      </c>
      <c r="B181" s="7" t="s">
        <v>35</v>
      </c>
      <c r="C181" s="7" t="s">
        <v>207</v>
      </c>
      <c r="D181" s="7" t="s">
        <v>211</v>
      </c>
      <c r="E181" s="8">
        <v>-13300</v>
      </c>
      <c r="F181" s="6">
        <f t="shared" si="4"/>
        <v>27</v>
      </c>
    </row>
    <row r="182">
      <c r="A182" s="6">
        <v>2023</v>
      </c>
      <c r="B182" s="7" t="s">
        <v>35</v>
      </c>
      <c r="C182" s="7" t="s">
        <v>207</v>
      </c>
      <c r="D182" s="7" t="s">
        <v>212</v>
      </c>
      <c r="E182" s="8">
        <v>-7268</v>
      </c>
      <c r="F182" s="6">
        <f t="shared" si="4"/>
        <v>27</v>
      </c>
    </row>
    <row r="183">
      <c r="A183" s="6">
        <v>2023</v>
      </c>
      <c r="B183" s="7" t="s">
        <v>35</v>
      </c>
      <c r="C183" s="7" t="s">
        <v>207</v>
      </c>
      <c r="D183" s="7" t="s">
        <v>213</v>
      </c>
      <c r="E183" s="8">
        <v>-5000</v>
      </c>
      <c r="F183" s="6">
        <f t="shared" si="4"/>
        <v>27</v>
      </c>
    </row>
    <row r="184">
      <c r="A184" s="6">
        <v>2023</v>
      </c>
      <c r="B184" s="7" t="s">
        <v>35</v>
      </c>
      <c r="C184" s="7" t="s">
        <v>207</v>
      </c>
      <c r="D184" s="7" t="s">
        <v>214</v>
      </c>
      <c r="E184" s="8">
        <v>-37500</v>
      </c>
      <c r="F184" s="6">
        <f t="shared" si="4"/>
        <v>27</v>
      </c>
    </row>
    <row r="185">
      <c r="A185" s="6">
        <v>2023</v>
      </c>
      <c r="B185" s="7" t="s">
        <v>35</v>
      </c>
      <c r="C185" s="7" t="s">
        <v>207</v>
      </c>
      <c r="D185" s="7" t="s">
        <v>215</v>
      </c>
      <c r="E185" s="8">
        <v>-1425</v>
      </c>
      <c r="F185" s="6">
        <f t="shared" si="4"/>
        <v>27</v>
      </c>
    </row>
    <row r="186">
      <c r="A186" s="6">
        <v>2023</v>
      </c>
      <c r="B186" s="7" t="s">
        <v>35</v>
      </c>
      <c r="C186" s="7" t="s">
        <v>216</v>
      </c>
      <c r="D186" s="7" t="s">
        <v>217</v>
      </c>
      <c r="E186" s="8">
        <v>0</v>
      </c>
      <c r="F186" s="6">
        <f t="shared" si="4"/>
        <v>28</v>
      </c>
    </row>
    <row r="187">
      <c r="A187" s="6">
        <v>2023</v>
      </c>
      <c r="B187" s="7" t="s">
        <v>35</v>
      </c>
      <c r="C187" s="7" t="s">
        <v>216</v>
      </c>
      <c r="D187" s="7" t="s">
        <v>218</v>
      </c>
      <c r="E187" s="8">
        <v>-200</v>
      </c>
      <c r="F187" s="6">
        <f t="shared" si="4"/>
        <v>28</v>
      </c>
    </row>
    <row r="188">
      <c r="A188" s="6">
        <v>2023</v>
      </c>
      <c r="B188" s="7" t="s">
        <v>35</v>
      </c>
      <c r="C188" s="7" t="s">
        <v>216</v>
      </c>
      <c r="D188" s="7" t="s">
        <v>219</v>
      </c>
      <c r="E188" s="8">
        <v>-250</v>
      </c>
      <c r="F188" s="6">
        <f t="shared" si="4"/>
        <v>28</v>
      </c>
      <c r="H188" s="9"/>
    </row>
    <row r="189">
      <c r="A189" s="6">
        <v>2023</v>
      </c>
      <c r="B189" s="7" t="s">
        <v>35</v>
      </c>
      <c r="C189" s="7" t="s">
        <v>216</v>
      </c>
      <c r="D189" s="7" t="s">
        <v>220</v>
      </c>
      <c r="E189" s="8">
        <v>0</v>
      </c>
      <c r="F189" s="6">
        <f t="shared" si="4"/>
        <v>28</v>
      </c>
    </row>
    <row r="190">
      <c r="A190" s="6">
        <v>2023</v>
      </c>
      <c r="B190" s="7" t="s">
        <v>35</v>
      </c>
      <c r="C190" s="7" t="s">
        <v>216</v>
      </c>
      <c r="D190" s="7" t="s">
        <v>221</v>
      </c>
      <c r="E190" s="8">
        <v>-1300</v>
      </c>
      <c r="F190" s="6">
        <f t="shared" si="4"/>
        <v>28</v>
      </c>
    </row>
    <row r="191">
      <c r="A191" s="6">
        <v>2023</v>
      </c>
      <c r="B191" s="7" t="s">
        <v>35</v>
      </c>
      <c r="C191" s="7" t="s">
        <v>216</v>
      </c>
      <c r="D191" s="7" t="s">
        <v>222</v>
      </c>
      <c r="E191" s="8">
        <v>-3000</v>
      </c>
      <c r="F191" s="6">
        <f t="shared" si="4"/>
        <v>28</v>
      </c>
    </row>
    <row r="192">
      <c r="A192" s="6">
        <v>2023</v>
      </c>
      <c r="B192" s="7" t="s">
        <v>35</v>
      </c>
      <c r="C192" s="7" t="s">
        <v>216</v>
      </c>
      <c r="D192" s="7" t="s">
        <v>223</v>
      </c>
      <c r="E192" s="8">
        <v>-1400</v>
      </c>
      <c r="F192" s="6">
        <f t="shared" si="4"/>
        <v>28</v>
      </c>
    </row>
    <row r="193">
      <c r="A193" s="6">
        <v>2023</v>
      </c>
      <c r="B193" s="7" t="s">
        <v>35</v>
      </c>
      <c r="C193" s="7" t="s">
        <v>216</v>
      </c>
      <c r="D193" s="7" t="s">
        <v>224</v>
      </c>
      <c r="E193" s="8">
        <v>-200</v>
      </c>
      <c r="F193" s="6">
        <f t="shared" si="4"/>
        <v>28</v>
      </c>
    </row>
    <row r="194">
      <c r="A194" s="6">
        <v>2023</v>
      </c>
      <c r="B194" s="7" t="s">
        <v>35</v>
      </c>
      <c r="C194" s="7" t="s">
        <v>216</v>
      </c>
      <c r="D194" s="7" t="s">
        <v>225</v>
      </c>
      <c r="E194" s="8">
        <v>-300</v>
      </c>
      <c r="F194" s="6">
        <f t="shared" si="4"/>
        <v>28</v>
      </c>
    </row>
    <row r="195">
      <c r="A195" s="6">
        <v>2023</v>
      </c>
      <c r="B195" s="7" t="s">
        <v>35</v>
      </c>
      <c r="C195" s="7" t="s">
        <v>216</v>
      </c>
      <c r="D195" s="7" t="s">
        <v>226</v>
      </c>
      <c r="E195" s="8">
        <v>-3500</v>
      </c>
      <c r="F195" s="6">
        <f t="shared" si="4"/>
        <v>28</v>
      </c>
    </row>
    <row r="196">
      <c r="A196" s="6">
        <v>2023</v>
      </c>
      <c r="B196" s="7" t="s">
        <v>35</v>
      </c>
      <c r="C196" s="7" t="s">
        <v>216</v>
      </c>
      <c r="D196" s="7" t="s">
        <v>227</v>
      </c>
      <c r="E196" s="8">
        <v>-150</v>
      </c>
      <c r="F196" s="6">
        <f t="shared" si="4"/>
        <v>28</v>
      </c>
    </row>
    <row r="197">
      <c r="A197" s="6">
        <v>2023</v>
      </c>
      <c r="B197" s="7" t="s">
        <v>35</v>
      </c>
      <c r="C197" s="7" t="s">
        <v>216</v>
      </c>
      <c r="D197" s="7" t="s">
        <v>228</v>
      </c>
      <c r="E197" s="8">
        <v>-200</v>
      </c>
      <c r="F197" s="6">
        <f t="shared" si="4"/>
        <v>28</v>
      </c>
    </row>
    <row r="198">
      <c r="A198" s="6">
        <v>2023</v>
      </c>
      <c r="B198" s="7" t="s">
        <v>35</v>
      </c>
      <c r="C198" s="7" t="s">
        <v>216</v>
      </c>
      <c r="D198" s="7" t="s">
        <v>229</v>
      </c>
      <c r="E198" s="8">
        <v>-300</v>
      </c>
      <c r="F198" s="6">
        <f t="shared" si="4"/>
        <v>28</v>
      </c>
    </row>
    <row r="199">
      <c r="A199" s="6">
        <v>2023</v>
      </c>
      <c r="B199" s="7" t="s">
        <v>35</v>
      </c>
      <c r="C199" s="7" t="s">
        <v>216</v>
      </c>
      <c r="D199" s="7" t="s">
        <v>230</v>
      </c>
      <c r="E199" s="8">
        <v>-200</v>
      </c>
      <c r="F199" s="6">
        <f t="shared" si="4"/>
        <v>28</v>
      </c>
    </row>
    <row r="200">
      <c r="A200" s="6">
        <v>2023</v>
      </c>
      <c r="B200" s="7" t="s">
        <v>35</v>
      </c>
      <c r="C200" s="7" t="s">
        <v>216</v>
      </c>
      <c r="D200" s="7" t="s">
        <v>231</v>
      </c>
      <c r="E200" s="8">
        <v>-800</v>
      </c>
      <c r="F200" s="6">
        <f t="shared" si="4"/>
        <v>28</v>
      </c>
    </row>
    <row r="201">
      <c r="A201" s="6">
        <v>2023</v>
      </c>
      <c r="B201" s="7" t="s">
        <v>35</v>
      </c>
      <c r="C201" s="7" t="s">
        <v>232</v>
      </c>
      <c r="D201" s="7" t="s">
        <v>233</v>
      </c>
      <c r="E201" s="8">
        <v>-3596</v>
      </c>
      <c r="F201" s="6">
        <f t="shared" si="4"/>
        <v>29</v>
      </c>
    </row>
    <row r="202">
      <c r="A202" s="6">
        <v>2023</v>
      </c>
      <c r="B202" s="7" t="s">
        <v>35</v>
      </c>
      <c r="C202" s="7" t="s">
        <v>232</v>
      </c>
      <c r="D202" s="7" t="s">
        <v>234</v>
      </c>
      <c r="E202" s="8">
        <v>-47000</v>
      </c>
      <c r="F202" s="6">
        <f t="shared" si="4"/>
        <v>29</v>
      </c>
    </row>
    <row r="203">
      <c r="A203" s="6">
        <v>2023</v>
      </c>
      <c r="B203" s="7" t="s">
        <v>35</v>
      </c>
      <c r="C203" s="7" t="s">
        <v>232</v>
      </c>
      <c r="D203" s="7" t="s">
        <v>235</v>
      </c>
      <c r="E203" s="8">
        <v>-1880</v>
      </c>
      <c r="F203" s="6">
        <f t="shared" si="4"/>
        <v>29</v>
      </c>
    </row>
    <row r="204">
      <c r="A204" s="6">
        <v>2023</v>
      </c>
      <c r="B204" s="7" t="s">
        <v>35</v>
      </c>
      <c r="C204" s="7" t="s">
        <v>232</v>
      </c>
      <c r="D204" s="7" t="s">
        <v>236</v>
      </c>
      <c r="E204" s="8">
        <v>-1000</v>
      </c>
      <c r="F204" s="6">
        <f t="shared" si="4"/>
        <v>29</v>
      </c>
    </row>
    <row r="205">
      <c r="A205" s="6">
        <v>2024</v>
      </c>
      <c r="B205" s="10" t="s">
        <v>5</v>
      </c>
      <c r="C205" s="10" t="s">
        <v>237</v>
      </c>
      <c r="D205" s="10" t="s">
        <v>7</v>
      </c>
      <c r="E205" s="11">
        <v>14000</v>
      </c>
      <c r="F205" s="6">
        <f t="shared" si="4"/>
        <v>30</v>
      </c>
    </row>
    <row r="206">
      <c r="A206" s="6">
        <v>2024</v>
      </c>
      <c r="B206" s="10" t="s">
        <v>5</v>
      </c>
      <c r="C206" s="10" t="s">
        <v>238</v>
      </c>
      <c r="D206" s="10" t="s">
        <v>8</v>
      </c>
      <c r="E206" s="11">
        <v>369050.00000000012</v>
      </c>
      <c r="F206" s="6">
        <f t="shared" si="4"/>
        <v>31</v>
      </c>
    </row>
    <row r="207">
      <c r="A207" s="6">
        <v>2024</v>
      </c>
      <c r="B207" s="10" t="s">
        <v>5</v>
      </c>
      <c r="C207" s="10" t="s">
        <v>238</v>
      </c>
      <c r="D207" s="10" t="s">
        <v>9</v>
      </c>
      <c r="E207" s="11">
        <v>8000</v>
      </c>
      <c r="F207" s="6">
        <f t="shared" si="4"/>
        <v>31</v>
      </c>
    </row>
    <row r="208">
      <c r="A208" s="6">
        <v>2024</v>
      </c>
      <c r="B208" s="10" t="s">
        <v>5</v>
      </c>
      <c r="C208" s="10" t="s">
        <v>238</v>
      </c>
      <c r="D208" s="10" t="s">
        <v>10</v>
      </c>
      <c r="E208" s="11">
        <v>10000</v>
      </c>
      <c r="F208" s="6">
        <f t="shared" si="4"/>
        <v>31</v>
      </c>
    </row>
    <row r="209">
      <c r="A209" s="6">
        <v>2024</v>
      </c>
      <c r="B209" s="6" t="s">
        <v>5</v>
      </c>
      <c r="C209" s="10" t="s">
        <v>238</v>
      </c>
      <c r="D209" s="10" t="s">
        <v>239</v>
      </c>
      <c r="E209" s="11">
        <v>3000</v>
      </c>
      <c r="F209" s="6">
        <f t="shared" si="4"/>
        <v>31</v>
      </c>
    </row>
    <row r="210">
      <c r="A210" s="6">
        <v>2024</v>
      </c>
      <c r="B210" s="10" t="s">
        <v>5</v>
      </c>
      <c r="C210" s="10" t="s">
        <v>238</v>
      </c>
      <c r="D210" s="10" t="s">
        <v>240</v>
      </c>
      <c r="E210" s="11">
        <v>3000</v>
      </c>
      <c r="F210" s="6">
        <f t="shared" si="4"/>
        <v>31</v>
      </c>
    </row>
    <row r="211">
      <c r="A211" s="6">
        <v>2024</v>
      </c>
      <c r="B211" s="10" t="s">
        <v>5</v>
      </c>
      <c r="C211" s="10" t="s">
        <v>238</v>
      </c>
      <c r="D211" s="10" t="s">
        <v>241</v>
      </c>
      <c r="E211" s="11">
        <v>3000</v>
      </c>
      <c r="F211" s="6">
        <f t="shared" si="4"/>
        <v>31</v>
      </c>
    </row>
    <row r="212" ht="12.75">
      <c r="A212" s="6">
        <v>2024</v>
      </c>
      <c r="B212" s="10" t="s">
        <v>5</v>
      </c>
      <c r="C212" s="10" t="s">
        <v>238</v>
      </c>
      <c r="D212" s="10" t="s">
        <v>11</v>
      </c>
      <c r="E212" s="11">
        <v>1000</v>
      </c>
      <c r="F212" s="6">
        <f t="shared" si="4"/>
        <v>31</v>
      </c>
    </row>
    <row r="213" ht="12.75">
      <c r="A213" s="6">
        <v>2024</v>
      </c>
      <c r="B213" s="10" t="s">
        <v>5</v>
      </c>
      <c r="C213" s="10" t="s">
        <v>238</v>
      </c>
      <c r="D213" s="10" t="s">
        <v>12</v>
      </c>
      <c r="E213" s="11">
        <v>32500</v>
      </c>
      <c r="F213" s="6">
        <f t="shared" si="4"/>
        <v>31</v>
      </c>
    </row>
    <row r="214" ht="12.75">
      <c r="A214" s="6">
        <v>2024</v>
      </c>
      <c r="B214" s="10" t="s">
        <v>5</v>
      </c>
      <c r="C214" s="10" t="s">
        <v>238</v>
      </c>
      <c r="D214" s="10" t="s">
        <v>16</v>
      </c>
      <c r="E214" s="11">
        <v>10000</v>
      </c>
      <c r="F214" s="6">
        <f t="shared" si="4"/>
        <v>31</v>
      </c>
    </row>
    <row r="215" ht="12.75">
      <c r="A215" s="6">
        <v>2024</v>
      </c>
      <c r="B215" s="10" t="s">
        <v>5</v>
      </c>
      <c r="C215" s="10" t="s">
        <v>238</v>
      </c>
      <c r="D215" s="10" t="s">
        <v>242</v>
      </c>
      <c r="E215" s="11">
        <v>200</v>
      </c>
      <c r="F215" s="6">
        <f t="shared" si="4"/>
        <v>31</v>
      </c>
    </row>
    <row r="216" ht="12.75">
      <c r="A216" s="6">
        <v>2024</v>
      </c>
      <c r="B216" s="10" t="s">
        <v>5</v>
      </c>
      <c r="C216" s="10" t="s">
        <v>238</v>
      </c>
      <c r="D216" s="10" t="s">
        <v>243</v>
      </c>
      <c r="E216" s="11">
        <v>9000</v>
      </c>
      <c r="F216" s="6">
        <f t="shared" si="4"/>
        <v>31</v>
      </c>
    </row>
    <row r="217" ht="12.75">
      <c r="A217" s="6">
        <v>2024</v>
      </c>
      <c r="B217" s="10" t="s">
        <v>5</v>
      </c>
      <c r="C217" s="10" t="s">
        <v>238</v>
      </c>
      <c r="D217" s="10" t="s">
        <v>14</v>
      </c>
      <c r="E217" s="11">
        <v>0</v>
      </c>
      <c r="F217" s="6">
        <f t="shared" si="4"/>
        <v>31</v>
      </c>
    </row>
    <row r="218" ht="12.75">
      <c r="A218" s="6">
        <v>2024</v>
      </c>
      <c r="B218" s="10" t="s">
        <v>5</v>
      </c>
      <c r="C218" s="10" t="s">
        <v>244</v>
      </c>
      <c r="D218" s="10" t="s">
        <v>23</v>
      </c>
      <c r="E218" s="11">
        <v>234561</v>
      </c>
      <c r="F218" s="6">
        <f t="shared" si="4"/>
        <v>32</v>
      </c>
    </row>
    <row r="219" ht="12.75">
      <c r="A219" s="6">
        <v>2024</v>
      </c>
      <c r="B219" s="10" t="s">
        <v>5</v>
      </c>
      <c r="C219" s="10" t="s">
        <v>244</v>
      </c>
      <c r="D219" s="10" t="s">
        <v>245</v>
      </c>
      <c r="E219" s="11">
        <v>0</v>
      </c>
      <c r="F219" s="6">
        <f t="shared" si="4"/>
        <v>32</v>
      </c>
    </row>
    <row r="220" ht="12.75">
      <c r="A220" s="6">
        <v>2024</v>
      </c>
      <c r="B220" s="10" t="s">
        <v>5</v>
      </c>
      <c r="C220" s="10" t="s">
        <v>244</v>
      </c>
      <c r="D220" s="10" t="s">
        <v>24</v>
      </c>
      <c r="E220" s="11">
        <v>140000</v>
      </c>
      <c r="F220" s="6">
        <f t="shared" si="4"/>
        <v>32</v>
      </c>
    </row>
    <row r="221" ht="12.75">
      <c r="A221" s="6">
        <v>2024</v>
      </c>
      <c r="B221" s="10" t="s">
        <v>5</v>
      </c>
      <c r="C221" s="10" t="s">
        <v>244</v>
      </c>
      <c r="D221" s="10" t="s">
        <v>25</v>
      </c>
      <c r="E221" s="11">
        <v>17000</v>
      </c>
      <c r="F221" s="6">
        <f t="shared" si="4"/>
        <v>32</v>
      </c>
    </row>
    <row r="222" ht="12.75">
      <c r="A222" s="6">
        <v>2024</v>
      </c>
      <c r="B222" s="10" t="s">
        <v>5</v>
      </c>
      <c r="C222" s="10" t="s">
        <v>244</v>
      </c>
      <c r="D222" s="10" t="s">
        <v>26</v>
      </c>
      <c r="E222" s="11">
        <v>34600</v>
      </c>
      <c r="F222" s="6">
        <f t="shared" si="4"/>
        <v>32</v>
      </c>
    </row>
    <row r="223" ht="12.75">
      <c r="A223" s="6">
        <v>2024</v>
      </c>
      <c r="B223" s="10" t="s">
        <v>5</v>
      </c>
      <c r="C223" s="10" t="s">
        <v>244</v>
      </c>
      <c r="D223" s="10" t="s">
        <v>27</v>
      </c>
      <c r="E223" s="11">
        <v>29577</v>
      </c>
      <c r="F223" s="6">
        <f t="shared" si="4"/>
        <v>32</v>
      </c>
    </row>
    <row r="224" ht="12.75">
      <c r="A224" s="6">
        <v>2024</v>
      </c>
      <c r="B224" s="10" t="s">
        <v>5</v>
      </c>
      <c r="C224" s="10" t="s">
        <v>246</v>
      </c>
      <c r="D224" s="10" t="s">
        <v>18</v>
      </c>
      <c r="E224" s="11">
        <v>68000</v>
      </c>
      <c r="F224" s="6">
        <f t="shared" si="4"/>
        <v>33</v>
      </c>
    </row>
    <row r="225" ht="12.75">
      <c r="A225" s="6">
        <v>2024</v>
      </c>
      <c r="B225" s="10" t="s">
        <v>5</v>
      </c>
      <c r="C225" s="10" t="s">
        <v>246</v>
      </c>
      <c r="D225" s="10" t="s">
        <v>19</v>
      </c>
      <c r="E225" s="11">
        <f>152166-15000-2000</f>
        <v>135166</v>
      </c>
      <c r="F225" s="6">
        <f t="shared" si="4"/>
        <v>33</v>
      </c>
    </row>
    <row r="226" ht="12.75">
      <c r="A226" s="6">
        <v>2024</v>
      </c>
      <c r="B226" s="10" t="s">
        <v>5</v>
      </c>
      <c r="C226" s="10" t="s">
        <v>246</v>
      </c>
      <c r="D226" s="10" t="s">
        <v>20</v>
      </c>
      <c r="E226" s="11">
        <v>100000</v>
      </c>
      <c r="F226" s="6">
        <f t="shared" si="4"/>
        <v>33</v>
      </c>
    </row>
    <row r="227" ht="12.75">
      <c r="A227" s="6">
        <v>2024</v>
      </c>
      <c r="B227" s="10" t="s">
        <v>5</v>
      </c>
      <c r="C227" s="10" t="s">
        <v>247</v>
      </c>
      <c r="D227" s="10" t="s">
        <v>29</v>
      </c>
      <c r="E227" s="11">
        <v>10000</v>
      </c>
      <c r="F227" s="6">
        <f t="shared" si="4"/>
        <v>34</v>
      </c>
    </row>
    <row r="228" ht="12.75">
      <c r="A228" s="6">
        <v>2024</v>
      </c>
      <c r="B228" s="10" t="s">
        <v>5</v>
      </c>
      <c r="C228" s="10" t="s">
        <v>247</v>
      </c>
      <c r="D228" s="10" t="s">
        <v>30</v>
      </c>
      <c r="E228" s="11">
        <v>3000</v>
      </c>
      <c r="F228" s="6">
        <f t="shared" si="4"/>
        <v>34</v>
      </c>
    </row>
    <row r="229" ht="12.75">
      <c r="A229" s="6">
        <v>2024</v>
      </c>
      <c r="B229" s="10" t="s">
        <v>5</v>
      </c>
      <c r="C229" s="10" t="s">
        <v>247</v>
      </c>
      <c r="D229" s="10" t="s">
        <v>31</v>
      </c>
      <c r="E229" s="11">
        <v>18000</v>
      </c>
      <c r="F229" s="6">
        <f t="shared" ref="F229:F292" si="5">IF(C229=C228,F228,F228+1)</f>
        <v>34</v>
      </c>
    </row>
    <row r="230" ht="12.75">
      <c r="A230" s="6">
        <v>2024</v>
      </c>
      <c r="B230" s="10" t="s">
        <v>5</v>
      </c>
      <c r="C230" s="10" t="s">
        <v>247</v>
      </c>
      <c r="D230" s="10" t="s">
        <v>248</v>
      </c>
      <c r="E230" s="11">
        <v>1100</v>
      </c>
      <c r="F230" s="6">
        <f t="shared" si="5"/>
        <v>34</v>
      </c>
    </row>
    <row r="231" ht="12.75">
      <c r="A231" s="6">
        <v>2024</v>
      </c>
      <c r="B231" s="10" t="s">
        <v>5</v>
      </c>
      <c r="C231" s="10" t="s">
        <v>247</v>
      </c>
      <c r="D231" s="10" t="s">
        <v>33</v>
      </c>
      <c r="E231" s="11">
        <v>1000</v>
      </c>
      <c r="F231" s="6">
        <f t="shared" si="5"/>
        <v>34</v>
      </c>
    </row>
    <row r="232" ht="12.75">
      <c r="A232" s="6">
        <v>2024</v>
      </c>
      <c r="B232" s="10" t="s">
        <v>5</v>
      </c>
      <c r="C232" s="10" t="s">
        <v>247</v>
      </c>
      <c r="D232" s="10" t="s">
        <v>249</v>
      </c>
      <c r="E232" s="11">
        <v>5000</v>
      </c>
      <c r="F232" s="6">
        <f t="shared" si="5"/>
        <v>34</v>
      </c>
    </row>
    <row r="233" ht="12.75">
      <c r="A233" s="6">
        <v>2024</v>
      </c>
      <c r="B233" s="10" t="s">
        <v>35</v>
      </c>
      <c r="C233" s="10" t="s">
        <v>250</v>
      </c>
      <c r="D233" s="10" t="s">
        <v>251</v>
      </c>
      <c r="E233" s="11">
        <v>-18000</v>
      </c>
      <c r="F233" s="6">
        <f t="shared" si="5"/>
        <v>35</v>
      </c>
    </row>
    <row r="234" ht="12.75">
      <c r="A234" s="6">
        <v>2024</v>
      </c>
      <c r="B234" s="10" t="s">
        <v>35</v>
      </c>
      <c r="C234" s="10" t="s">
        <v>250</v>
      </c>
      <c r="D234" s="10" t="s">
        <v>179</v>
      </c>
      <c r="E234" s="11">
        <v>-200</v>
      </c>
      <c r="F234" s="6">
        <f t="shared" si="5"/>
        <v>35</v>
      </c>
    </row>
    <row r="235" ht="12.75">
      <c r="A235" s="6">
        <v>2024</v>
      </c>
      <c r="B235" s="10" t="s">
        <v>35</v>
      </c>
      <c r="C235" s="10" t="s">
        <v>250</v>
      </c>
      <c r="D235" s="10" t="s">
        <v>180</v>
      </c>
      <c r="E235" s="11">
        <v>-700</v>
      </c>
      <c r="F235" s="6">
        <f t="shared" si="5"/>
        <v>35</v>
      </c>
    </row>
    <row r="236" ht="12.75">
      <c r="A236" s="6">
        <v>2024</v>
      </c>
      <c r="B236" s="10" t="s">
        <v>35</v>
      </c>
      <c r="C236" s="10" t="s">
        <v>250</v>
      </c>
      <c r="D236" s="10" t="s">
        <v>181</v>
      </c>
      <c r="E236" s="11">
        <v>-12000</v>
      </c>
      <c r="F236" s="6">
        <f t="shared" si="5"/>
        <v>35</v>
      </c>
    </row>
    <row r="237" ht="12.75">
      <c r="A237" s="6">
        <v>2024</v>
      </c>
      <c r="B237" s="10" t="s">
        <v>35</v>
      </c>
      <c r="C237" s="10" t="s">
        <v>250</v>
      </c>
      <c r="D237" s="10" t="s">
        <v>182</v>
      </c>
      <c r="E237" s="11">
        <v>-3600</v>
      </c>
      <c r="F237" s="6">
        <f t="shared" si="5"/>
        <v>35</v>
      </c>
    </row>
    <row r="238" ht="12.75">
      <c r="A238" s="6">
        <v>2024</v>
      </c>
      <c r="B238" s="10" t="s">
        <v>35</v>
      </c>
      <c r="C238" s="10" t="s">
        <v>250</v>
      </c>
      <c r="D238" s="10" t="s">
        <v>183</v>
      </c>
      <c r="E238" s="11">
        <v>-200</v>
      </c>
      <c r="F238" s="6">
        <f t="shared" si="5"/>
        <v>35</v>
      </c>
    </row>
    <row r="239" ht="12.75">
      <c r="A239" s="6">
        <v>2024</v>
      </c>
      <c r="B239" s="10" t="s">
        <v>35</v>
      </c>
      <c r="C239" s="10" t="s">
        <v>250</v>
      </c>
      <c r="D239" s="10" t="s">
        <v>184</v>
      </c>
      <c r="E239" s="11">
        <v>-200</v>
      </c>
      <c r="F239" s="6">
        <f t="shared" si="5"/>
        <v>35</v>
      </c>
    </row>
    <row r="240" ht="12.75">
      <c r="A240" s="6">
        <v>2024</v>
      </c>
      <c r="B240" s="10" t="s">
        <v>35</v>
      </c>
      <c r="C240" s="10" t="s">
        <v>250</v>
      </c>
      <c r="D240" s="10" t="s">
        <v>185</v>
      </c>
      <c r="E240" s="11">
        <v>-1000</v>
      </c>
      <c r="F240" s="6">
        <f t="shared" si="5"/>
        <v>35</v>
      </c>
    </row>
    <row r="241" ht="12.75">
      <c r="A241" s="6">
        <v>2024</v>
      </c>
      <c r="B241" s="10" t="s">
        <v>35</v>
      </c>
      <c r="C241" s="10" t="s">
        <v>250</v>
      </c>
      <c r="D241" s="10" t="s">
        <v>186</v>
      </c>
      <c r="E241" s="11">
        <v>-200</v>
      </c>
      <c r="F241" s="6">
        <f t="shared" si="5"/>
        <v>35</v>
      </c>
    </row>
    <row r="242" ht="12.75">
      <c r="A242" s="6">
        <v>2024</v>
      </c>
      <c r="B242" s="10" t="s">
        <v>35</v>
      </c>
      <c r="C242" s="10" t="s">
        <v>250</v>
      </c>
      <c r="D242" s="10" t="s">
        <v>187</v>
      </c>
      <c r="E242" s="11">
        <v>-200</v>
      </c>
      <c r="F242" s="6">
        <f t="shared" si="5"/>
        <v>35</v>
      </c>
    </row>
    <row r="243" ht="12.75">
      <c r="A243" s="6">
        <v>2024</v>
      </c>
      <c r="B243" s="10" t="s">
        <v>35</v>
      </c>
      <c r="C243" s="10" t="s">
        <v>250</v>
      </c>
      <c r="D243" s="10" t="s">
        <v>188</v>
      </c>
      <c r="E243" s="11">
        <v>-200</v>
      </c>
      <c r="F243" s="6">
        <f t="shared" si="5"/>
        <v>35</v>
      </c>
    </row>
    <row r="244" ht="12.75">
      <c r="A244" s="6">
        <v>2024</v>
      </c>
      <c r="B244" s="10" t="s">
        <v>35</v>
      </c>
      <c r="C244" s="10" t="s">
        <v>250</v>
      </c>
      <c r="D244" s="10" t="s">
        <v>189</v>
      </c>
      <c r="E244" s="11">
        <v>-2400</v>
      </c>
      <c r="F244" s="6">
        <f t="shared" si="5"/>
        <v>35</v>
      </c>
    </row>
    <row r="245" ht="12.75">
      <c r="A245" s="6">
        <v>2024</v>
      </c>
      <c r="B245" s="10" t="s">
        <v>35</v>
      </c>
      <c r="C245" s="10" t="s">
        <v>250</v>
      </c>
      <c r="D245" s="10" t="s">
        <v>190</v>
      </c>
      <c r="E245" s="11">
        <v>-300</v>
      </c>
      <c r="F245" s="6">
        <f t="shared" si="5"/>
        <v>35</v>
      </c>
    </row>
    <row r="246" ht="12.75">
      <c r="A246" s="6">
        <v>2024</v>
      </c>
      <c r="B246" s="10" t="s">
        <v>35</v>
      </c>
      <c r="C246" s="10" t="s">
        <v>250</v>
      </c>
      <c r="D246" s="10" t="s">
        <v>191</v>
      </c>
      <c r="E246" s="11">
        <v>-200</v>
      </c>
      <c r="F246" s="6">
        <f t="shared" si="5"/>
        <v>35</v>
      </c>
    </row>
    <row r="247" ht="12.75">
      <c r="A247" s="6">
        <v>2024</v>
      </c>
      <c r="B247" s="10" t="s">
        <v>35</v>
      </c>
      <c r="C247" s="10" t="s">
        <v>250</v>
      </c>
      <c r="D247" s="10" t="s">
        <v>192</v>
      </c>
      <c r="E247" s="11">
        <v>-100</v>
      </c>
      <c r="F247" s="6">
        <f t="shared" si="5"/>
        <v>35</v>
      </c>
    </row>
    <row r="248" ht="12.75">
      <c r="A248" s="6">
        <v>2024</v>
      </c>
      <c r="B248" s="10" t="s">
        <v>35</v>
      </c>
      <c r="C248" s="10" t="s">
        <v>250</v>
      </c>
      <c r="D248" s="10" t="s">
        <v>193</v>
      </c>
      <c r="E248" s="11">
        <v>-9000</v>
      </c>
      <c r="F248" s="6">
        <f t="shared" si="5"/>
        <v>35</v>
      </c>
    </row>
    <row r="249" ht="12.75">
      <c r="A249" s="6">
        <v>2024</v>
      </c>
      <c r="B249" s="10" t="s">
        <v>35</v>
      </c>
      <c r="C249" s="10" t="s">
        <v>250</v>
      </c>
      <c r="D249" s="10" t="s">
        <v>252</v>
      </c>
      <c r="E249" s="11">
        <v>-1100</v>
      </c>
      <c r="F249" s="6">
        <f t="shared" si="5"/>
        <v>35</v>
      </c>
    </row>
    <row r="250" ht="12.75">
      <c r="A250" s="6">
        <v>2024</v>
      </c>
      <c r="B250" s="10" t="s">
        <v>35</v>
      </c>
      <c r="C250" s="10" t="s">
        <v>250</v>
      </c>
      <c r="D250" s="10" t="s">
        <v>195</v>
      </c>
      <c r="E250" s="11">
        <v>0</v>
      </c>
      <c r="F250" s="6">
        <f t="shared" si="5"/>
        <v>35</v>
      </c>
    </row>
    <row r="251" ht="12.75">
      <c r="A251" s="6">
        <v>2024</v>
      </c>
      <c r="B251" s="10" t="s">
        <v>35</v>
      </c>
      <c r="C251" s="10" t="s">
        <v>250</v>
      </c>
      <c r="D251" s="10" t="s">
        <v>196</v>
      </c>
      <c r="E251" s="11">
        <v>-5000</v>
      </c>
      <c r="F251" s="6">
        <f t="shared" si="5"/>
        <v>35</v>
      </c>
    </row>
    <row r="252" ht="12.75">
      <c r="A252" s="6">
        <v>2024</v>
      </c>
      <c r="B252" s="10" t="s">
        <v>35</v>
      </c>
      <c r="C252" s="10" t="s">
        <v>250</v>
      </c>
      <c r="D252" s="10" t="s">
        <v>253</v>
      </c>
      <c r="E252" s="11">
        <v>0</v>
      </c>
      <c r="F252" s="6">
        <f t="shared" si="5"/>
        <v>35</v>
      </c>
    </row>
    <row r="253" ht="12.75">
      <c r="A253" s="6">
        <v>2024</v>
      </c>
      <c r="B253" s="10" t="s">
        <v>35</v>
      </c>
      <c r="C253" s="10" t="s">
        <v>250</v>
      </c>
      <c r="D253" s="10" t="s">
        <v>254</v>
      </c>
      <c r="E253" s="11">
        <v>0</v>
      </c>
      <c r="F253" s="6">
        <f t="shared" si="5"/>
        <v>35</v>
      </c>
    </row>
    <row r="254" ht="12.75">
      <c r="A254" s="6">
        <v>2024</v>
      </c>
      <c r="B254" s="10" t="s">
        <v>35</v>
      </c>
      <c r="C254" s="10" t="s">
        <v>250</v>
      </c>
      <c r="D254" s="10" t="s">
        <v>255</v>
      </c>
      <c r="E254" s="11">
        <v>-400</v>
      </c>
      <c r="F254" s="6">
        <f t="shared" si="5"/>
        <v>35</v>
      </c>
    </row>
    <row r="255" ht="12.75">
      <c r="A255" s="6">
        <v>2024</v>
      </c>
      <c r="B255" s="10" t="s">
        <v>35</v>
      </c>
      <c r="C255" s="10" t="s">
        <v>250</v>
      </c>
      <c r="D255" s="10" t="s">
        <v>256</v>
      </c>
      <c r="E255" s="11">
        <v>-1300</v>
      </c>
      <c r="F255" s="6">
        <f t="shared" si="5"/>
        <v>35</v>
      </c>
    </row>
    <row r="256" ht="12.75">
      <c r="A256" s="6">
        <v>2024</v>
      </c>
      <c r="B256" s="10" t="s">
        <v>35</v>
      </c>
      <c r="C256" s="10" t="s">
        <v>250</v>
      </c>
      <c r="D256" s="10" t="s">
        <v>257</v>
      </c>
      <c r="E256" s="11">
        <v>-1500</v>
      </c>
      <c r="F256" s="6">
        <f t="shared" si="5"/>
        <v>35</v>
      </c>
    </row>
    <row r="257" ht="12.75">
      <c r="A257" s="6">
        <v>2024</v>
      </c>
      <c r="B257" s="10" t="s">
        <v>35</v>
      </c>
      <c r="C257" s="10" t="s">
        <v>250</v>
      </c>
      <c r="D257" s="10" t="s">
        <v>202</v>
      </c>
      <c r="E257" s="11">
        <v>-1000</v>
      </c>
      <c r="F257" s="6">
        <f t="shared" si="5"/>
        <v>35</v>
      </c>
    </row>
    <row r="258" ht="12.75">
      <c r="A258" s="6">
        <v>2024</v>
      </c>
      <c r="B258" s="10" t="s">
        <v>35</v>
      </c>
      <c r="C258" s="10" t="s">
        <v>250</v>
      </c>
      <c r="D258" s="10" t="s">
        <v>204</v>
      </c>
      <c r="E258" s="11">
        <v>-3905</v>
      </c>
      <c r="F258" s="6">
        <f t="shared" si="5"/>
        <v>35</v>
      </c>
    </row>
    <row r="259" ht="12.75">
      <c r="A259" s="6">
        <v>2024</v>
      </c>
      <c r="B259" s="10" t="s">
        <v>35</v>
      </c>
      <c r="C259" s="10" t="s">
        <v>250</v>
      </c>
      <c r="D259" s="10" t="s">
        <v>205</v>
      </c>
      <c r="E259" s="11">
        <v>-51035</v>
      </c>
      <c r="F259" s="6">
        <f t="shared" si="5"/>
        <v>35</v>
      </c>
    </row>
    <row r="260" ht="12.75">
      <c r="A260" s="6">
        <v>2024</v>
      </c>
      <c r="B260" s="10" t="s">
        <v>35</v>
      </c>
      <c r="C260" s="10" t="s">
        <v>250</v>
      </c>
      <c r="D260" s="10" t="s">
        <v>206</v>
      </c>
      <c r="E260" s="11">
        <v>-1000</v>
      </c>
      <c r="F260" s="6">
        <f t="shared" si="5"/>
        <v>35</v>
      </c>
    </row>
    <row r="261" ht="12.75">
      <c r="A261" s="6">
        <v>2024</v>
      </c>
      <c r="B261" s="10" t="s">
        <v>35</v>
      </c>
      <c r="C261" s="10" t="s">
        <v>250</v>
      </c>
      <c r="D261" s="10" t="s">
        <v>208</v>
      </c>
      <c r="E261" s="11">
        <v>-2200</v>
      </c>
      <c r="F261" s="6">
        <f t="shared" si="5"/>
        <v>35</v>
      </c>
    </row>
    <row r="262" ht="12.75">
      <c r="A262" s="6">
        <v>2024</v>
      </c>
      <c r="B262" s="10" t="s">
        <v>35</v>
      </c>
      <c r="C262" s="10" t="s">
        <v>250</v>
      </c>
      <c r="D262" s="10" t="s">
        <v>209</v>
      </c>
      <c r="E262" s="11">
        <v>-59628</v>
      </c>
      <c r="F262" s="6">
        <f t="shared" si="5"/>
        <v>35</v>
      </c>
    </row>
    <row r="263" ht="12.75">
      <c r="A263" s="6">
        <v>2024</v>
      </c>
      <c r="B263" s="10" t="s">
        <v>35</v>
      </c>
      <c r="C263" s="10" t="s">
        <v>250</v>
      </c>
      <c r="D263" s="10" t="s">
        <v>210</v>
      </c>
      <c r="E263" s="11">
        <v>-10000</v>
      </c>
      <c r="F263" s="6">
        <f t="shared" si="5"/>
        <v>35</v>
      </c>
    </row>
    <row r="264" ht="12.75">
      <c r="A264" s="6">
        <v>2024</v>
      </c>
      <c r="B264" s="10" t="s">
        <v>35</v>
      </c>
      <c r="C264" s="10" t="s">
        <v>250</v>
      </c>
      <c r="D264" s="10" t="s">
        <v>211</v>
      </c>
      <c r="E264" s="11">
        <v>-13792.1</v>
      </c>
      <c r="F264" s="6">
        <f t="shared" si="5"/>
        <v>35</v>
      </c>
    </row>
    <row r="265" ht="12.75">
      <c r="A265" s="6">
        <v>2024</v>
      </c>
      <c r="B265" s="10" t="s">
        <v>35</v>
      </c>
      <c r="C265" s="10" t="s">
        <v>250</v>
      </c>
      <c r="D265" s="10" t="s">
        <v>212</v>
      </c>
      <c r="E265" s="11">
        <v>-7536</v>
      </c>
      <c r="F265" s="6">
        <f t="shared" si="5"/>
        <v>35</v>
      </c>
    </row>
    <row r="266" ht="12.75">
      <c r="A266" s="6">
        <v>2024</v>
      </c>
      <c r="B266" s="10" t="s">
        <v>35</v>
      </c>
      <c r="C266" s="10" t="s">
        <v>250</v>
      </c>
      <c r="D266" s="10" t="s">
        <v>213</v>
      </c>
      <c r="E266" s="11">
        <v>-5000</v>
      </c>
      <c r="F266" s="6">
        <f t="shared" si="5"/>
        <v>35</v>
      </c>
    </row>
    <row r="267" ht="12.75">
      <c r="A267" s="6">
        <v>2024</v>
      </c>
      <c r="B267" s="10" t="s">
        <v>35</v>
      </c>
      <c r="C267" s="10" t="s">
        <v>250</v>
      </c>
      <c r="D267" s="10" t="s">
        <v>214</v>
      </c>
      <c r="E267" s="11">
        <v>-38888</v>
      </c>
      <c r="F267" s="6">
        <f t="shared" si="5"/>
        <v>35</v>
      </c>
    </row>
    <row r="268" ht="12.75">
      <c r="A268" s="6">
        <v>2024</v>
      </c>
      <c r="B268" s="10" t="s">
        <v>35</v>
      </c>
      <c r="C268" s="10" t="s">
        <v>250</v>
      </c>
      <c r="D268" s="10" t="s">
        <v>215</v>
      </c>
      <c r="E268" s="11">
        <v>-1476.22</v>
      </c>
      <c r="F268" s="6">
        <f t="shared" si="5"/>
        <v>35</v>
      </c>
    </row>
    <row r="269" ht="12.75">
      <c r="A269" s="6">
        <v>2024</v>
      </c>
      <c r="B269" s="10" t="s">
        <v>35</v>
      </c>
      <c r="C269" s="10" t="s">
        <v>258</v>
      </c>
      <c r="D269" s="10" t="s">
        <v>218</v>
      </c>
      <c r="E269" s="11">
        <v>-200</v>
      </c>
      <c r="F269" s="6">
        <f t="shared" si="5"/>
        <v>36</v>
      </c>
    </row>
    <row r="270" ht="12.75">
      <c r="A270" s="6">
        <v>2024</v>
      </c>
      <c r="B270" s="10" t="s">
        <v>35</v>
      </c>
      <c r="C270" s="10" t="s">
        <v>258</v>
      </c>
      <c r="D270" s="10" t="s">
        <v>219</v>
      </c>
      <c r="E270" s="11">
        <v>-250</v>
      </c>
      <c r="F270" s="6">
        <f t="shared" si="5"/>
        <v>36</v>
      </c>
    </row>
    <row r="271" ht="12.75">
      <c r="A271" s="6">
        <v>2024</v>
      </c>
      <c r="B271" s="10" t="s">
        <v>35</v>
      </c>
      <c r="C271" s="10" t="s">
        <v>258</v>
      </c>
      <c r="D271" s="10" t="s">
        <v>221</v>
      </c>
      <c r="E271" s="11">
        <v>-1300</v>
      </c>
      <c r="F271" s="6">
        <f t="shared" si="5"/>
        <v>36</v>
      </c>
    </row>
    <row r="272" ht="12.75">
      <c r="A272" s="6">
        <v>2024</v>
      </c>
      <c r="B272" s="10" t="s">
        <v>35</v>
      </c>
      <c r="C272" s="10" t="s">
        <v>258</v>
      </c>
      <c r="D272" s="10" t="s">
        <v>259</v>
      </c>
      <c r="E272" s="11">
        <v>-3000</v>
      </c>
      <c r="F272" s="6">
        <f t="shared" si="5"/>
        <v>36</v>
      </c>
    </row>
    <row r="273" ht="12.75">
      <c r="A273" s="6">
        <v>2024</v>
      </c>
      <c r="B273" s="10" t="s">
        <v>35</v>
      </c>
      <c r="C273" s="10" t="s">
        <v>258</v>
      </c>
      <c r="D273" s="10" t="s">
        <v>223</v>
      </c>
      <c r="E273" s="11">
        <v>-1400</v>
      </c>
      <c r="F273" s="6">
        <f t="shared" si="5"/>
        <v>36</v>
      </c>
    </row>
    <row r="274" ht="12.75">
      <c r="A274" s="6">
        <v>2024</v>
      </c>
      <c r="B274" s="10" t="s">
        <v>35</v>
      </c>
      <c r="C274" s="10" t="s">
        <v>258</v>
      </c>
      <c r="D274" s="10" t="s">
        <v>224</v>
      </c>
      <c r="E274" s="11">
        <v>-200</v>
      </c>
      <c r="F274" s="6">
        <f t="shared" si="5"/>
        <v>36</v>
      </c>
    </row>
    <row r="275" ht="12.75">
      <c r="A275" s="6">
        <v>2024</v>
      </c>
      <c r="B275" s="10" t="s">
        <v>35</v>
      </c>
      <c r="C275" s="10" t="s">
        <v>258</v>
      </c>
      <c r="D275" s="10" t="s">
        <v>225</v>
      </c>
      <c r="E275" s="11">
        <v>-300</v>
      </c>
      <c r="F275" s="6">
        <f t="shared" si="5"/>
        <v>36</v>
      </c>
    </row>
    <row r="276" ht="12.75">
      <c r="A276" s="6">
        <v>2024</v>
      </c>
      <c r="B276" s="10" t="s">
        <v>35</v>
      </c>
      <c r="C276" s="10" t="s">
        <v>258</v>
      </c>
      <c r="D276" s="10" t="s">
        <v>260</v>
      </c>
      <c r="E276" s="11">
        <v>-9000</v>
      </c>
      <c r="F276" s="6">
        <f t="shared" si="5"/>
        <v>36</v>
      </c>
    </row>
    <row r="277" ht="12.75">
      <c r="A277" s="6">
        <v>2024</v>
      </c>
      <c r="B277" s="10" t="s">
        <v>35</v>
      </c>
      <c r="C277" s="10" t="s">
        <v>258</v>
      </c>
      <c r="D277" s="10" t="s">
        <v>227</v>
      </c>
      <c r="E277" s="11">
        <v>-150</v>
      </c>
      <c r="F277" s="6">
        <f t="shared" si="5"/>
        <v>36</v>
      </c>
    </row>
    <row r="278" ht="12.75">
      <c r="A278" s="6">
        <v>2024</v>
      </c>
      <c r="B278" s="10" t="s">
        <v>35</v>
      </c>
      <c r="C278" s="10" t="s">
        <v>258</v>
      </c>
      <c r="D278" s="10" t="s">
        <v>228</v>
      </c>
      <c r="E278" s="11">
        <v>-200</v>
      </c>
      <c r="F278" s="6">
        <f t="shared" si="5"/>
        <v>36</v>
      </c>
    </row>
    <row r="279" ht="12.75">
      <c r="A279" s="6">
        <v>2024</v>
      </c>
      <c r="B279" s="10" t="s">
        <v>35</v>
      </c>
      <c r="C279" s="10" t="s">
        <v>258</v>
      </c>
      <c r="D279" s="10" t="s">
        <v>229</v>
      </c>
      <c r="E279" s="11">
        <v>-200</v>
      </c>
      <c r="F279" s="6">
        <f t="shared" si="5"/>
        <v>36</v>
      </c>
    </row>
    <row r="280" ht="12.75">
      <c r="A280" s="6">
        <v>2024</v>
      </c>
      <c r="B280" s="10" t="s">
        <v>35</v>
      </c>
      <c r="C280" s="10" t="s">
        <v>258</v>
      </c>
      <c r="D280" s="10" t="s">
        <v>230</v>
      </c>
      <c r="E280" s="11">
        <v>-200</v>
      </c>
      <c r="F280" s="6">
        <f t="shared" si="5"/>
        <v>36</v>
      </c>
    </row>
    <row r="281" ht="12.75">
      <c r="A281" s="6">
        <v>2024</v>
      </c>
      <c r="B281" s="10" t="s">
        <v>35</v>
      </c>
      <c r="C281" s="10" t="s">
        <v>258</v>
      </c>
      <c r="D281" s="10" t="s">
        <v>231</v>
      </c>
      <c r="E281" s="11">
        <v>-1000</v>
      </c>
      <c r="F281" s="6">
        <f t="shared" si="5"/>
        <v>36</v>
      </c>
    </row>
    <row r="282" ht="12.75">
      <c r="A282" s="6">
        <v>2024</v>
      </c>
      <c r="B282" s="10" t="s">
        <v>35</v>
      </c>
      <c r="C282" s="10" t="s">
        <v>258</v>
      </c>
      <c r="D282" s="10" t="s">
        <v>233</v>
      </c>
      <c r="E282" s="11">
        <v>-2796.3975</v>
      </c>
      <c r="F282" s="6">
        <f t="shared" si="5"/>
        <v>36</v>
      </c>
    </row>
    <row r="283" ht="12.75">
      <c r="A283" s="6">
        <v>2024</v>
      </c>
      <c r="B283" s="10" t="s">
        <v>35</v>
      </c>
      <c r="C283" s="10" t="s">
        <v>258</v>
      </c>
      <c r="D283" s="10" t="s">
        <v>234</v>
      </c>
      <c r="E283" s="11">
        <v>-36554.25</v>
      </c>
      <c r="F283" s="6">
        <f t="shared" si="5"/>
        <v>36</v>
      </c>
    </row>
    <row r="284" ht="12.75">
      <c r="A284" s="6">
        <v>2024</v>
      </c>
      <c r="B284" s="10" t="s">
        <v>35</v>
      </c>
      <c r="C284" s="10" t="s">
        <v>258</v>
      </c>
      <c r="D284" s="10" t="s">
        <v>261</v>
      </c>
      <c r="E284" s="11">
        <v>0</v>
      </c>
      <c r="F284" s="6">
        <f t="shared" si="5"/>
        <v>36</v>
      </c>
    </row>
    <row r="285" ht="12.75">
      <c r="A285" s="6">
        <v>2024</v>
      </c>
      <c r="B285" s="10" t="s">
        <v>35</v>
      </c>
      <c r="C285" s="10" t="s">
        <v>258</v>
      </c>
      <c r="D285" s="10" t="s">
        <v>262</v>
      </c>
      <c r="E285" s="11">
        <v>-1462.1700000000001</v>
      </c>
      <c r="F285" s="6">
        <f t="shared" si="5"/>
        <v>36</v>
      </c>
    </row>
    <row r="286" ht="12.75">
      <c r="A286" s="6">
        <v>2024</v>
      </c>
      <c r="B286" s="10" t="s">
        <v>35</v>
      </c>
      <c r="C286" s="10" t="s">
        <v>258</v>
      </c>
      <c r="D286" s="10" t="s">
        <v>236</v>
      </c>
      <c r="E286" s="11">
        <v>-1000</v>
      </c>
      <c r="F286" s="6">
        <f t="shared" si="5"/>
        <v>36</v>
      </c>
    </row>
    <row r="287" ht="12.75">
      <c r="A287" s="6">
        <v>2024</v>
      </c>
      <c r="B287" s="10" t="s">
        <v>35</v>
      </c>
      <c r="C287" s="10" t="s">
        <v>263</v>
      </c>
      <c r="D287" s="10" t="s">
        <v>119</v>
      </c>
      <c r="E287" s="11">
        <v>-10000</v>
      </c>
      <c r="F287" s="6">
        <f t="shared" si="5"/>
        <v>37</v>
      </c>
    </row>
    <row r="288" ht="12.75">
      <c r="A288" s="6">
        <v>2024</v>
      </c>
      <c r="B288" s="10" t="s">
        <v>35</v>
      </c>
      <c r="C288" s="10" t="s">
        <v>263</v>
      </c>
      <c r="D288" s="10" t="s">
        <v>120</v>
      </c>
      <c r="E288" s="11">
        <v>-14400</v>
      </c>
      <c r="F288" s="6">
        <f t="shared" si="5"/>
        <v>37</v>
      </c>
    </row>
    <row r="289" ht="12.75">
      <c r="A289" s="6">
        <v>2024</v>
      </c>
      <c r="B289" s="10" t="s">
        <v>35</v>
      </c>
      <c r="C289" s="10" t="s">
        <v>263</v>
      </c>
      <c r="D289" s="10" t="s">
        <v>121</v>
      </c>
      <c r="E289" s="11">
        <v>-44800</v>
      </c>
      <c r="F289" s="6">
        <f t="shared" si="5"/>
        <v>37</v>
      </c>
    </row>
    <row r="290" ht="12.75">
      <c r="A290" s="6">
        <v>2024</v>
      </c>
      <c r="B290" s="10" t="s">
        <v>35</v>
      </c>
      <c r="C290" s="10" t="s">
        <v>263</v>
      </c>
      <c r="D290" s="10" t="s">
        <v>122</v>
      </c>
      <c r="E290" s="11">
        <v>-20000</v>
      </c>
      <c r="F290" s="6">
        <f t="shared" si="5"/>
        <v>37</v>
      </c>
    </row>
    <row r="291" ht="12.75">
      <c r="A291" s="6">
        <v>2024</v>
      </c>
      <c r="B291" s="10" t="s">
        <v>35</v>
      </c>
      <c r="C291" s="10" t="s">
        <v>263</v>
      </c>
      <c r="D291" s="10" t="s">
        <v>123</v>
      </c>
      <c r="E291" s="11">
        <v>-1600</v>
      </c>
      <c r="F291" s="6">
        <f t="shared" si="5"/>
        <v>37</v>
      </c>
    </row>
    <row r="292" ht="12.75">
      <c r="A292" s="6">
        <v>2024</v>
      </c>
      <c r="B292" s="10" t="s">
        <v>35</v>
      </c>
      <c r="C292" s="10" t="s">
        <v>263</v>
      </c>
      <c r="D292" s="10" t="s">
        <v>124</v>
      </c>
      <c r="E292" s="11">
        <v>-1600</v>
      </c>
      <c r="F292" s="6">
        <f t="shared" si="5"/>
        <v>37</v>
      </c>
    </row>
    <row r="293" ht="12.75">
      <c r="A293" s="6">
        <v>2024</v>
      </c>
      <c r="B293" s="10" t="s">
        <v>35</v>
      </c>
      <c r="C293" s="10" t="s">
        <v>263</v>
      </c>
      <c r="D293" s="10" t="s">
        <v>125</v>
      </c>
      <c r="E293" s="11">
        <v>-7200</v>
      </c>
      <c r="F293" s="6">
        <f t="shared" ref="F293:F356" si="6">IF(C293=C292,F292,F292+1)</f>
        <v>37</v>
      </c>
    </row>
    <row r="294" ht="12.75">
      <c r="A294" s="6">
        <v>2024</v>
      </c>
      <c r="B294" s="10" t="s">
        <v>35</v>
      </c>
      <c r="C294" s="10" t="s">
        <v>263</v>
      </c>
      <c r="D294" s="10" t="s">
        <v>126</v>
      </c>
      <c r="E294" s="11">
        <v>-7200</v>
      </c>
      <c r="F294" s="6">
        <f t="shared" si="6"/>
        <v>37</v>
      </c>
    </row>
    <row r="295" ht="12.75">
      <c r="A295" s="6">
        <v>2024</v>
      </c>
      <c r="B295" s="10" t="s">
        <v>35</v>
      </c>
      <c r="C295" s="10" t="s">
        <v>263</v>
      </c>
      <c r="D295" s="10" t="s">
        <v>129</v>
      </c>
      <c r="E295" s="11">
        <v>-34600</v>
      </c>
      <c r="F295" s="6">
        <f t="shared" si="6"/>
        <v>37</v>
      </c>
    </row>
    <row r="296" ht="12.75">
      <c r="A296" s="6">
        <v>2024</v>
      </c>
      <c r="B296" s="10" t="s">
        <v>35</v>
      </c>
      <c r="C296" s="10" t="s">
        <v>263</v>
      </c>
      <c r="D296" s="10" t="s">
        <v>127</v>
      </c>
      <c r="E296" s="11">
        <v>-10000</v>
      </c>
      <c r="F296" s="6">
        <f t="shared" si="6"/>
        <v>37</v>
      </c>
    </row>
    <row r="297" ht="12.75">
      <c r="A297" s="6">
        <v>2024</v>
      </c>
      <c r="B297" s="10" t="s">
        <v>35</v>
      </c>
      <c r="C297" s="10" t="s">
        <v>264</v>
      </c>
      <c r="D297" s="10" t="s">
        <v>95</v>
      </c>
      <c r="E297" s="11">
        <v>-40000</v>
      </c>
      <c r="F297" s="6">
        <f t="shared" si="6"/>
        <v>38</v>
      </c>
    </row>
    <row r="298" ht="12.75">
      <c r="A298" s="6">
        <v>2024</v>
      </c>
      <c r="B298" s="10" t="s">
        <v>35</v>
      </c>
      <c r="C298" s="10" t="s">
        <v>264</v>
      </c>
      <c r="D298" s="10" t="s">
        <v>265</v>
      </c>
      <c r="E298" s="11">
        <v>0</v>
      </c>
      <c r="F298" s="6">
        <f t="shared" si="6"/>
        <v>38</v>
      </c>
    </row>
    <row r="299" ht="12.75">
      <c r="A299" s="6">
        <v>2024</v>
      </c>
      <c r="B299" s="10" t="s">
        <v>35</v>
      </c>
      <c r="C299" s="10" t="s">
        <v>264</v>
      </c>
      <c r="D299" s="10" t="s">
        <v>97</v>
      </c>
      <c r="E299" s="11">
        <v>-200</v>
      </c>
      <c r="F299" s="6">
        <f t="shared" si="6"/>
        <v>38</v>
      </c>
    </row>
    <row r="300" ht="12.75">
      <c r="A300" s="6">
        <v>2024</v>
      </c>
      <c r="B300" s="10" t="s">
        <v>35</v>
      </c>
      <c r="C300" s="10" t="s">
        <v>264</v>
      </c>
      <c r="D300" s="10" t="s">
        <v>266</v>
      </c>
      <c r="E300" s="11">
        <v>0</v>
      </c>
      <c r="F300" s="6">
        <f t="shared" si="6"/>
        <v>38</v>
      </c>
    </row>
    <row r="301" ht="12.75">
      <c r="A301" s="6">
        <v>2024</v>
      </c>
      <c r="B301" s="10" t="s">
        <v>35</v>
      </c>
      <c r="C301" s="10" t="s">
        <v>264</v>
      </c>
      <c r="D301" s="10" t="s">
        <v>136</v>
      </c>
      <c r="E301" s="11">
        <v>-10000</v>
      </c>
      <c r="F301" s="6">
        <f t="shared" si="6"/>
        <v>38</v>
      </c>
    </row>
    <row r="302" ht="12.75">
      <c r="A302" s="6">
        <v>2024</v>
      </c>
      <c r="B302" s="10" t="s">
        <v>35</v>
      </c>
      <c r="C302" s="10" t="s">
        <v>264</v>
      </c>
      <c r="D302" s="10" t="s">
        <v>137</v>
      </c>
      <c r="E302" s="11">
        <v>-200</v>
      </c>
      <c r="F302" s="6">
        <f t="shared" si="6"/>
        <v>38</v>
      </c>
    </row>
    <row r="303" ht="12.75">
      <c r="A303" s="6">
        <v>2024</v>
      </c>
      <c r="B303" s="10" t="s">
        <v>35</v>
      </c>
      <c r="C303" s="10" t="s">
        <v>264</v>
      </c>
      <c r="D303" s="10" t="s">
        <v>267</v>
      </c>
      <c r="E303" s="11">
        <v>-1500</v>
      </c>
      <c r="F303" s="6">
        <f t="shared" si="6"/>
        <v>38</v>
      </c>
    </row>
    <row r="304" ht="12.75">
      <c r="A304" s="6">
        <v>2024</v>
      </c>
      <c r="B304" s="10" t="s">
        <v>35</v>
      </c>
      <c r="C304" s="10" t="s">
        <v>264</v>
      </c>
      <c r="D304" s="10" t="s">
        <v>268</v>
      </c>
      <c r="E304" s="11">
        <v>-700</v>
      </c>
      <c r="F304" s="6">
        <f t="shared" si="6"/>
        <v>38</v>
      </c>
    </row>
    <row r="305" ht="12.75">
      <c r="A305" s="6">
        <v>2024</v>
      </c>
      <c r="B305" s="10" t="s">
        <v>35</v>
      </c>
      <c r="C305" s="10" t="s">
        <v>264</v>
      </c>
      <c r="D305" s="10" t="s">
        <v>141</v>
      </c>
      <c r="E305" s="11">
        <v>-6000</v>
      </c>
      <c r="F305" s="6">
        <f t="shared" si="6"/>
        <v>38</v>
      </c>
    </row>
    <row r="306" ht="12.75">
      <c r="A306" s="6">
        <v>2024</v>
      </c>
      <c r="B306" s="10" t="s">
        <v>35</v>
      </c>
      <c r="C306" s="10" t="s">
        <v>264</v>
      </c>
      <c r="D306" s="10" t="s">
        <v>142</v>
      </c>
      <c r="E306" s="11">
        <v>0</v>
      </c>
      <c r="F306" s="6">
        <f t="shared" si="6"/>
        <v>38</v>
      </c>
    </row>
    <row r="307" ht="12.75">
      <c r="A307" s="6">
        <v>2024</v>
      </c>
      <c r="B307" s="10" t="s">
        <v>35</v>
      </c>
      <c r="C307" s="10" t="s">
        <v>264</v>
      </c>
      <c r="D307" s="10" t="s">
        <v>269</v>
      </c>
      <c r="E307" s="11">
        <v>0</v>
      </c>
      <c r="F307" s="6">
        <f t="shared" si="6"/>
        <v>38</v>
      </c>
    </row>
    <row r="308" ht="12.75">
      <c r="A308" s="6">
        <v>2024</v>
      </c>
      <c r="B308" s="10" t="s">
        <v>35</v>
      </c>
      <c r="C308" s="10" t="s">
        <v>270</v>
      </c>
      <c r="D308" s="10" t="s">
        <v>271</v>
      </c>
      <c r="E308" s="11">
        <v>-5000</v>
      </c>
      <c r="F308" s="6">
        <f t="shared" si="6"/>
        <v>39</v>
      </c>
    </row>
    <row r="309" ht="12.75">
      <c r="A309" s="6">
        <v>2024</v>
      </c>
      <c r="B309" s="10" t="s">
        <v>35</v>
      </c>
      <c r="C309" s="10" t="s">
        <v>270</v>
      </c>
      <c r="D309" s="10" t="s">
        <v>57</v>
      </c>
      <c r="E309" s="11">
        <v>-200</v>
      </c>
      <c r="F309" s="6">
        <f t="shared" si="6"/>
        <v>39</v>
      </c>
    </row>
    <row r="310" ht="12.75">
      <c r="A310" s="6">
        <v>2024</v>
      </c>
      <c r="B310" s="10" t="s">
        <v>35</v>
      </c>
      <c r="C310" s="10" t="s">
        <v>270</v>
      </c>
      <c r="D310" s="10" t="s">
        <v>58</v>
      </c>
      <c r="E310" s="11">
        <v>-150</v>
      </c>
      <c r="F310" s="6">
        <f t="shared" si="6"/>
        <v>39</v>
      </c>
    </row>
    <row r="311" ht="12.75">
      <c r="A311" s="6">
        <v>2024</v>
      </c>
      <c r="B311" s="10" t="s">
        <v>35</v>
      </c>
      <c r="C311" s="10" t="s">
        <v>270</v>
      </c>
      <c r="D311" s="10" t="s">
        <v>59</v>
      </c>
      <c r="E311" s="11">
        <v>-450</v>
      </c>
      <c r="F311" s="6">
        <f t="shared" si="6"/>
        <v>39</v>
      </c>
    </row>
    <row r="312" ht="12.75">
      <c r="A312" s="6">
        <v>2024</v>
      </c>
      <c r="B312" s="10" t="s">
        <v>35</v>
      </c>
      <c r="C312" s="10" t="s">
        <v>270</v>
      </c>
      <c r="D312" s="10" t="s">
        <v>60</v>
      </c>
      <c r="E312" s="11">
        <v>-150</v>
      </c>
      <c r="F312" s="6">
        <f t="shared" si="6"/>
        <v>39</v>
      </c>
    </row>
    <row r="313" ht="12.75">
      <c r="A313" s="6">
        <v>2024</v>
      </c>
      <c r="B313" s="10" t="s">
        <v>35</v>
      </c>
      <c r="C313" s="10" t="s">
        <v>270</v>
      </c>
      <c r="D313" s="10" t="s">
        <v>61</v>
      </c>
      <c r="E313" s="11">
        <v>-800</v>
      </c>
      <c r="F313" s="6">
        <f t="shared" si="6"/>
        <v>39</v>
      </c>
    </row>
    <row r="314" ht="12.75">
      <c r="A314" s="6">
        <v>2024</v>
      </c>
      <c r="B314" s="10" t="s">
        <v>35</v>
      </c>
      <c r="C314" s="10" t="s">
        <v>270</v>
      </c>
      <c r="D314" s="10" t="s">
        <v>62</v>
      </c>
      <c r="E314" s="11">
        <v>-150</v>
      </c>
      <c r="F314" s="6">
        <f t="shared" si="6"/>
        <v>39</v>
      </c>
    </row>
    <row r="315" ht="12.75">
      <c r="A315" s="6">
        <v>2024</v>
      </c>
      <c r="B315" s="10" t="s">
        <v>35</v>
      </c>
      <c r="C315" s="10" t="s">
        <v>270</v>
      </c>
      <c r="D315" s="10" t="s">
        <v>114</v>
      </c>
      <c r="E315" s="11">
        <v>0</v>
      </c>
      <c r="F315" s="6">
        <f t="shared" si="6"/>
        <v>39</v>
      </c>
    </row>
    <row r="316" ht="12.75">
      <c r="A316" s="6">
        <v>2024</v>
      </c>
      <c r="B316" s="10" t="s">
        <v>35</v>
      </c>
      <c r="C316" s="10" t="s">
        <v>270</v>
      </c>
      <c r="D316" s="10" t="s">
        <v>115</v>
      </c>
      <c r="E316" s="11">
        <v>-400</v>
      </c>
      <c r="F316" s="6">
        <f t="shared" si="6"/>
        <v>39</v>
      </c>
    </row>
    <row r="317" ht="12.75">
      <c r="A317" s="6">
        <v>2024</v>
      </c>
      <c r="B317" s="10" t="s">
        <v>35</v>
      </c>
      <c r="C317" s="10" t="s">
        <v>270</v>
      </c>
      <c r="D317" s="10" t="s">
        <v>116</v>
      </c>
      <c r="E317" s="11">
        <v>-180</v>
      </c>
      <c r="F317" s="6">
        <f t="shared" si="6"/>
        <v>39</v>
      </c>
    </row>
    <row r="318" ht="12.75">
      <c r="A318" s="6">
        <v>2024</v>
      </c>
      <c r="B318" s="10" t="s">
        <v>35</v>
      </c>
      <c r="C318" s="10" t="s">
        <v>270</v>
      </c>
      <c r="D318" s="10" t="s">
        <v>117</v>
      </c>
      <c r="E318" s="11">
        <v>-150</v>
      </c>
      <c r="F318" s="6">
        <f t="shared" si="6"/>
        <v>39</v>
      </c>
    </row>
    <row r="319" ht="12.75">
      <c r="A319" s="6">
        <v>2024</v>
      </c>
      <c r="B319" s="10" t="s">
        <v>35</v>
      </c>
      <c r="C319" s="10" t="s">
        <v>272</v>
      </c>
      <c r="D319" s="10" t="s">
        <v>68</v>
      </c>
      <c r="E319" s="11">
        <v>-300</v>
      </c>
      <c r="F319" s="6">
        <f t="shared" si="6"/>
        <v>40</v>
      </c>
    </row>
    <row r="320" ht="12.75">
      <c r="A320" s="6">
        <v>2024</v>
      </c>
      <c r="B320" s="10" t="s">
        <v>35</v>
      </c>
      <c r="C320" s="10" t="s">
        <v>272</v>
      </c>
      <c r="D320" s="10" t="s">
        <v>69</v>
      </c>
      <c r="E320" s="11">
        <v>-200</v>
      </c>
      <c r="F320" s="6">
        <f t="shared" si="6"/>
        <v>40</v>
      </c>
    </row>
    <row r="321" ht="12.75">
      <c r="A321" s="6">
        <v>2024</v>
      </c>
      <c r="B321" s="10" t="s">
        <v>35</v>
      </c>
      <c r="C321" s="10" t="s">
        <v>272</v>
      </c>
      <c r="D321" s="10" t="s">
        <v>70</v>
      </c>
      <c r="E321" s="11">
        <v>-500</v>
      </c>
      <c r="F321" s="6">
        <f t="shared" si="6"/>
        <v>40</v>
      </c>
    </row>
    <row r="322" ht="12.75">
      <c r="A322" s="6">
        <v>2024</v>
      </c>
      <c r="B322" s="10" t="s">
        <v>35</v>
      </c>
      <c r="C322" s="10" t="s">
        <v>272</v>
      </c>
      <c r="D322" s="10" t="s">
        <v>71</v>
      </c>
      <c r="E322" s="11">
        <v>-100</v>
      </c>
      <c r="F322" s="6">
        <f t="shared" si="6"/>
        <v>40</v>
      </c>
    </row>
    <row r="323" ht="12.75">
      <c r="A323" s="6">
        <v>2024</v>
      </c>
      <c r="B323" s="10" t="s">
        <v>35</v>
      </c>
      <c r="C323" s="10" t="s">
        <v>272</v>
      </c>
      <c r="D323" s="10" t="s">
        <v>72</v>
      </c>
      <c r="E323" s="11">
        <v>-300</v>
      </c>
      <c r="F323" s="6">
        <f t="shared" si="6"/>
        <v>40</v>
      </c>
    </row>
    <row r="324" ht="12.75">
      <c r="A324" s="6">
        <v>2024</v>
      </c>
      <c r="B324" s="10" t="s">
        <v>35</v>
      </c>
      <c r="C324" s="10" t="s">
        <v>272</v>
      </c>
      <c r="D324" s="10" t="s">
        <v>74</v>
      </c>
      <c r="E324" s="11">
        <v>-1560</v>
      </c>
      <c r="F324" s="6">
        <f t="shared" si="6"/>
        <v>40</v>
      </c>
    </row>
    <row r="325" ht="12.75">
      <c r="A325" s="6">
        <v>2024</v>
      </c>
      <c r="B325" s="10" t="s">
        <v>35</v>
      </c>
      <c r="C325" s="10" t="s">
        <v>272</v>
      </c>
      <c r="D325" s="10" t="s">
        <v>75</v>
      </c>
      <c r="E325" s="11">
        <v>-53667.660000000003</v>
      </c>
      <c r="F325" s="6">
        <f t="shared" si="6"/>
        <v>40</v>
      </c>
    </row>
    <row r="326" ht="12.75">
      <c r="A326" s="6">
        <v>2024</v>
      </c>
      <c r="B326" s="10" t="s">
        <v>35</v>
      </c>
      <c r="C326" s="10" t="s">
        <v>272</v>
      </c>
      <c r="D326" s="10" t="s">
        <v>76</v>
      </c>
      <c r="E326" s="11">
        <v>-26446.439999999999</v>
      </c>
      <c r="F326" s="6">
        <f t="shared" si="6"/>
        <v>40</v>
      </c>
    </row>
    <row r="327" ht="12.75">
      <c r="A327" s="6">
        <v>2024</v>
      </c>
      <c r="B327" s="10" t="s">
        <v>35</v>
      </c>
      <c r="C327" s="10" t="s">
        <v>272</v>
      </c>
      <c r="D327" s="10" t="s">
        <v>77</v>
      </c>
      <c r="E327" s="11">
        <v>-9754.4300000000003</v>
      </c>
      <c r="F327" s="6">
        <f t="shared" si="6"/>
        <v>40</v>
      </c>
    </row>
    <row r="328" ht="12.75">
      <c r="A328" s="6">
        <v>2024</v>
      </c>
      <c r="B328" s="10" t="s">
        <v>35</v>
      </c>
      <c r="C328" s="10" t="s">
        <v>272</v>
      </c>
      <c r="D328" s="10" t="s">
        <v>78</v>
      </c>
      <c r="E328" s="11">
        <v>-5497.9499999999998</v>
      </c>
      <c r="F328" s="6">
        <f t="shared" si="6"/>
        <v>40</v>
      </c>
    </row>
    <row r="329" ht="12.75">
      <c r="A329" s="6">
        <v>2024</v>
      </c>
      <c r="B329" s="10" t="s">
        <v>35</v>
      </c>
      <c r="C329" s="10" t="s">
        <v>272</v>
      </c>
      <c r="D329" s="10" t="s">
        <v>79</v>
      </c>
      <c r="E329" s="11">
        <v>-3800</v>
      </c>
      <c r="F329" s="6">
        <f t="shared" si="6"/>
        <v>40</v>
      </c>
    </row>
    <row r="330" ht="12.75">
      <c r="A330" s="6">
        <v>2024</v>
      </c>
      <c r="B330" s="10" t="s">
        <v>35</v>
      </c>
      <c r="C330" s="10" t="s">
        <v>272</v>
      </c>
      <c r="D330" s="10" t="s">
        <v>80</v>
      </c>
      <c r="E330" s="11">
        <v>-35009</v>
      </c>
      <c r="F330" s="6">
        <f t="shared" si="6"/>
        <v>40</v>
      </c>
    </row>
    <row r="331" ht="12.75">
      <c r="A331" s="6">
        <v>2024</v>
      </c>
      <c r="B331" s="10" t="s">
        <v>35</v>
      </c>
      <c r="C331" s="10" t="s">
        <v>272</v>
      </c>
      <c r="D331" s="10" t="s">
        <v>81</v>
      </c>
      <c r="E331" s="11">
        <v>-3500</v>
      </c>
      <c r="F331" s="6">
        <f t="shared" si="6"/>
        <v>40</v>
      </c>
    </row>
    <row r="332" ht="12.75">
      <c r="A332" s="6">
        <v>2024</v>
      </c>
      <c r="B332" s="10" t="s">
        <v>35</v>
      </c>
      <c r="C332" s="10" t="s">
        <v>273</v>
      </c>
      <c r="D332" s="10" t="s">
        <v>131</v>
      </c>
      <c r="E332" s="11">
        <v>-1300</v>
      </c>
      <c r="F332" s="6">
        <f t="shared" si="6"/>
        <v>41</v>
      </c>
    </row>
    <row r="333" ht="12.75">
      <c r="A333" s="6">
        <v>2024</v>
      </c>
      <c r="B333" s="10" t="s">
        <v>35</v>
      </c>
      <c r="C333" s="10" t="s">
        <v>273</v>
      </c>
      <c r="D333" s="10" t="s">
        <v>132</v>
      </c>
      <c r="E333" s="11">
        <v>-300</v>
      </c>
      <c r="F333" s="6">
        <f t="shared" si="6"/>
        <v>41</v>
      </c>
    </row>
    <row r="334" ht="12.75">
      <c r="A334" s="6">
        <v>2024</v>
      </c>
      <c r="B334" s="10" t="s">
        <v>35</v>
      </c>
      <c r="C334" s="10" t="s">
        <v>273</v>
      </c>
      <c r="D334" s="10" t="s">
        <v>133</v>
      </c>
      <c r="E334" s="11">
        <v>-150</v>
      </c>
      <c r="F334" s="6">
        <f t="shared" si="6"/>
        <v>41</v>
      </c>
    </row>
    <row r="335" ht="12.75">
      <c r="A335" s="6">
        <v>2024</v>
      </c>
      <c r="B335" s="10" t="s">
        <v>35</v>
      </c>
      <c r="C335" s="10" t="s">
        <v>273</v>
      </c>
      <c r="D335" s="10" t="s">
        <v>134</v>
      </c>
      <c r="E335" s="11">
        <v>-300</v>
      </c>
      <c r="F335" s="6">
        <f t="shared" si="6"/>
        <v>41</v>
      </c>
    </row>
    <row r="336" ht="12.75">
      <c r="A336" s="6">
        <v>2024</v>
      </c>
      <c r="B336" s="10" t="s">
        <v>35</v>
      </c>
      <c r="C336" s="10" t="s">
        <v>274</v>
      </c>
      <c r="D336" s="10" t="s">
        <v>99</v>
      </c>
      <c r="E336" s="11">
        <v>-500</v>
      </c>
      <c r="F336" s="6">
        <f t="shared" si="6"/>
        <v>42</v>
      </c>
    </row>
    <row r="337" ht="12.75">
      <c r="A337" s="6">
        <v>2024</v>
      </c>
      <c r="B337" s="10" t="s">
        <v>35</v>
      </c>
      <c r="C337" s="10" t="s">
        <v>274</v>
      </c>
      <c r="D337" s="10" t="s">
        <v>100</v>
      </c>
      <c r="E337" s="11">
        <v>-1000</v>
      </c>
      <c r="F337" s="6">
        <f t="shared" si="6"/>
        <v>42</v>
      </c>
    </row>
    <row r="338" ht="12.75">
      <c r="A338" s="6">
        <v>2024</v>
      </c>
      <c r="B338" s="10" t="s">
        <v>35</v>
      </c>
      <c r="C338" s="10" t="s">
        <v>274</v>
      </c>
      <c r="D338" s="10" t="s">
        <v>101</v>
      </c>
      <c r="E338" s="11">
        <v>0</v>
      </c>
      <c r="F338" s="6">
        <f t="shared" si="6"/>
        <v>42</v>
      </c>
    </row>
    <row r="339" ht="12.75">
      <c r="A339" s="6">
        <v>2024</v>
      </c>
      <c r="B339" s="10" t="s">
        <v>35</v>
      </c>
      <c r="C339" s="10" t="s">
        <v>274</v>
      </c>
      <c r="D339" s="10" t="s">
        <v>102</v>
      </c>
      <c r="E339" s="11">
        <v>-1000</v>
      </c>
      <c r="F339" s="6">
        <f t="shared" si="6"/>
        <v>42</v>
      </c>
    </row>
    <row r="340" ht="12.75">
      <c r="A340" s="6">
        <v>2024</v>
      </c>
      <c r="B340" s="10" t="s">
        <v>35</v>
      </c>
      <c r="C340" s="10" t="s">
        <v>275</v>
      </c>
      <c r="D340" s="10" t="s">
        <v>276</v>
      </c>
      <c r="E340" s="11">
        <v>-2000</v>
      </c>
      <c r="F340" s="6">
        <f t="shared" si="6"/>
        <v>43</v>
      </c>
    </row>
    <row r="341" ht="12.75">
      <c r="A341" s="6">
        <v>2024</v>
      </c>
      <c r="B341" s="10" t="s">
        <v>35</v>
      </c>
      <c r="C341" s="10" t="s">
        <v>275</v>
      </c>
      <c r="D341" s="10" t="s">
        <v>145</v>
      </c>
      <c r="E341" s="11">
        <v>-700</v>
      </c>
      <c r="F341" s="6">
        <f t="shared" si="6"/>
        <v>43</v>
      </c>
    </row>
    <row r="342" ht="12.75">
      <c r="A342" s="6">
        <v>2024</v>
      </c>
      <c r="B342" s="10" t="s">
        <v>35</v>
      </c>
      <c r="C342" s="10" t="s">
        <v>275</v>
      </c>
      <c r="D342" s="10" t="s">
        <v>146</v>
      </c>
      <c r="E342" s="11">
        <v>-8500</v>
      </c>
      <c r="F342" s="6">
        <f t="shared" si="6"/>
        <v>43</v>
      </c>
    </row>
    <row r="343" ht="12.75">
      <c r="A343" s="6">
        <v>2024</v>
      </c>
      <c r="B343" s="10" t="s">
        <v>35</v>
      </c>
      <c r="C343" s="10" t="s">
        <v>275</v>
      </c>
      <c r="D343" s="10" t="s">
        <v>147</v>
      </c>
      <c r="E343" s="11">
        <v>-9800</v>
      </c>
      <c r="F343" s="6">
        <f t="shared" si="6"/>
        <v>43</v>
      </c>
    </row>
    <row r="344" ht="12.75">
      <c r="A344" s="6">
        <v>2024</v>
      </c>
      <c r="B344" s="10" t="s">
        <v>35</v>
      </c>
      <c r="C344" s="10" t="s">
        <v>275</v>
      </c>
      <c r="D344" s="10" t="s">
        <v>148</v>
      </c>
      <c r="E344" s="11">
        <v>-1000</v>
      </c>
      <c r="F344" s="6">
        <f t="shared" si="6"/>
        <v>43</v>
      </c>
    </row>
    <row r="345" ht="12.75">
      <c r="A345" s="6">
        <v>2024</v>
      </c>
      <c r="B345" s="10" t="s">
        <v>35</v>
      </c>
      <c r="C345" s="10" t="s">
        <v>275</v>
      </c>
      <c r="D345" s="10" t="s">
        <v>149</v>
      </c>
      <c r="E345" s="11">
        <v>-500</v>
      </c>
      <c r="F345" s="6">
        <f t="shared" si="6"/>
        <v>43</v>
      </c>
    </row>
    <row r="346" ht="12.75">
      <c r="A346" s="6">
        <v>2024</v>
      </c>
      <c r="B346" s="10" t="s">
        <v>35</v>
      </c>
      <c r="C346" s="10" t="s">
        <v>275</v>
      </c>
      <c r="D346" s="10" t="s">
        <v>150</v>
      </c>
      <c r="E346" s="11">
        <v>-1000</v>
      </c>
      <c r="F346" s="6">
        <f t="shared" si="6"/>
        <v>43</v>
      </c>
    </row>
    <row r="347" ht="12.75">
      <c r="A347" s="6">
        <v>2024</v>
      </c>
      <c r="B347" s="10" t="s">
        <v>35</v>
      </c>
      <c r="C347" s="10" t="s">
        <v>275</v>
      </c>
      <c r="D347" s="10" t="s">
        <v>151</v>
      </c>
      <c r="E347" s="11">
        <v>-3600</v>
      </c>
      <c r="F347" s="6">
        <f t="shared" si="6"/>
        <v>43</v>
      </c>
    </row>
    <row r="348" ht="12.75">
      <c r="A348" s="6">
        <v>2024</v>
      </c>
      <c r="B348" s="10" t="s">
        <v>35</v>
      </c>
      <c r="C348" s="10" t="s">
        <v>275</v>
      </c>
      <c r="D348" s="10" t="s">
        <v>152</v>
      </c>
      <c r="E348" s="11">
        <v>-6200</v>
      </c>
      <c r="F348" s="6">
        <f t="shared" si="6"/>
        <v>43</v>
      </c>
    </row>
    <row r="349" ht="12.75">
      <c r="A349" s="6">
        <v>2024</v>
      </c>
      <c r="B349" s="10" t="s">
        <v>35</v>
      </c>
      <c r="C349" s="10" t="s">
        <v>275</v>
      </c>
      <c r="D349" s="10" t="s">
        <v>153</v>
      </c>
      <c r="E349" s="11">
        <v>-16200</v>
      </c>
      <c r="F349" s="6">
        <f t="shared" si="6"/>
        <v>43</v>
      </c>
    </row>
    <row r="350" ht="12.75">
      <c r="A350" s="6">
        <v>2024</v>
      </c>
      <c r="B350" s="10" t="s">
        <v>35</v>
      </c>
      <c r="C350" s="10" t="s">
        <v>275</v>
      </c>
      <c r="D350" s="10" t="s">
        <v>154</v>
      </c>
      <c r="E350" s="11">
        <v>0</v>
      </c>
      <c r="F350" s="6">
        <f t="shared" si="6"/>
        <v>43</v>
      </c>
    </row>
    <row r="351" ht="12.75">
      <c r="A351" s="6">
        <v>2024</v>
      </c>
      <c r="B351" s="10" t="s">
        <v>35</v>
      </c>
      <c r="C351" s="10" t="s">
        <v>275</v>
      </c>
      <c r="D351" s="10" t="s">
        <v>155</v>
      </c>
      <c r="E351" s="11">
        <v>0</v>
      </c>
      <c r="F351" s="6">
        <f t="shared" si="6"/>
        <v>43</v>
      </c>
    </row>
    <row r="352" ht="12.75">
      <c r="A352" s="6">
        <v>2024</v>
      </c>
      <c r="B352" s="10" t="s">
        <v>35</v>
      </c>
      <c r="C352" s="10" t="s">
        <v>275</v>
      </c>
      <c r="D352" s="10" t="s">
        <v>156</v>
      </c>
      <c r="E352" s="11">
        <v>0</v>
      </c>
      <c r="F352" s="6">
        <f t="shared" si="6"/>
        <v>43</v>
      </c>
    </row>
    <row r="353" ht="12.75">
      <c r="A353" s="6">
        <v>2024</v>
      </c>
      <c r="B353" s="10" t="s">
        <v>35</v>
      </c>
      <c r="C353" s="10" t="s">
        <v>275</v>
      </c>
      <c r="D353" s="10" t="s">
        <v>157</v>
      </c>
      <c r="E353" s="11">
        <v>0</v>
      </c>
      <c r="F353" s="6">
        <f t="shared" si="6"/>
        <v>43</v>
      </c>
    </row>
    <row r="354" ht="12.75">
      <c r="A354" s="6">
        <v>2024</v>
      </c>
      <c r="B354" s="10" t="s">
        <v>35</v>
      </c>
      <c r="C354" s="10" t="s">
        <v>275</v>
      </c>
      <c r="D354" s="10" t="s">
        <v>158</v>
      </c>
      <c r="E354" s="11">
        <v>-1400</v>
      </c>
      <c r="F354" s="6">
        <f t="shared" si="6"/>
        <v>43</v>
      </c>
    </row>
    <row r="355" ht="12.75">
      <c r="A355" s="6">
        <v>2024</v>
      </c>
      <c r="B355" s="10" t="s">
        <v>35</v>
      </c>
      <c r="C355" s="10" t="s">
        <v>275</v>
      </c>
      <c r="D355" s="10" t="s">
        <v>159</v>
      </c>
      <c r="E355" s="11">
        <v>-1000</v>
      </c>
      <c r="F355" s="6">
        <f t="shared" si="6"/>
        <v>43</v>
      </c>
    </row>
    <row r="356" ht="12.75">
      <c r="A356" s="6">
        <v>2024</v>
      </c>
      <c r="B356" s="10" t="s">
        <v>35</v>
      </c>
      <c r="C356" s="10" t="s">
        <v>275</v>
      </c>
      <c r="D356" s="10" t="s">
        <v>160</v>
      </c>
      <c r="E356" s="11">
        <v>-13200</v>
      </c>
      <c r="F356" s="6">
        <f t="shared" si="6"/>
        <v>43</v>
      </c>
    </row>
    <row r="357" ht="12.75">
      <c r="A357" s="6">
        <v>2024</v>
      </c>
      <c r="B357" s="10" t="s">
        <v>35</v>
      </c>
      <c r="C357" s="10" t="s">
        <v>275</v>
      </c>
      <c r="D357" s="10" t="s">
        <v>161</v>
      </c>
      <c r="E357" s="11">
        <v>-22000</v>
      </c>
      <c r="F357" s="6">
        <f t="shared" ref="F357:F414" si="7">IF(C357=C356,F356,F356+1)</f>
        <v>43</v>
      </c>
    </row>
    <row r="358" ht="12.75">
      <c r="A358" s="6">
        <v>2024</v>
      </c>
      <c r="B358" s="10" t="s">
        <v>35</v>
      </c>
      <c r="C358" s="10" t="s">
        <v>275</v>
      </c>
      <c r="D358" s="10" t="s">
        <v>162</v>
      </c>
      <c r="E358" s="11">
        <v>-33500</v>
      </c>
      <c r="F358" s="6">
        <f t="shared" si="7"/>
        <v>43</v>
      </c>
    </row>
    <row r="359" ht="12.75">
      <c r="A359" s="6">
        <v>2024</v>
      </c>
      <c r="B359" s="10" t="s">
        <v>35</v>
      </c>
      <c r="C359" s="10" t="s">
        <v>275</v>
      </c>
      <c r="D359" s="10" t="s">
        <v>163</v>
      </c>
      <c r="E359" s="11">
        <v>-16400</v>
      </c>
      <c r="F359" s="6">
        <f t="shared" si="7"/>
        <v>43</v>
      </c>
    </row>
    <row r="360" ht="12.75">
      <c r="A360" s="6">
        <v>2024</v>
      </c>
      <c r="B360" s="10" t="s">
        <v>35</v>
      </c>
      <c r="C360" s="10" t="s">
        <v>275</v>
      </c>
      <c r="D360" s="10" t="s">
        <v>164</v>
      </c>
      <c r="E360" s="11">
        <v>-2200</v>
      </c>
      <c r="F360" s="6">
        <f t="shared" si="7"/>
        <v>43</v>
      </c>
    </row>
    <row r="361" ht="12.75">
      <c r="A361" s="6">
        <v>2024</v>
      </c>
      <c r="B361" s="10" t="s">
        <v>35</v>
      </c>
      <c r="C361" s="10" t="s">
        <v>275</v>
      </c>
      <c r="D361" s="10" t="s">
        <v>165</v>
      </c>
      <c r="E361" s="11">
        <v>-3500</v>
      </c>
      <c r="F361" s="6">
        <f t="shared" si="7"/>
        <v>43</v>
      </c>
    </row>
    <row r="362" ht="12.75">
      <c r="A362" s="6">
        <v>2024</v>
      </c>
      <c r="B362" s="10" t="s">
        <v>35</v>
      </c>
      <c r="C362" s="10" t="s">
        <v>275</v>
      </c>
      <c r="D362" s="10" t="s">
        <v>166</v>
      </c>
      <c r="E362" s="11">
        <v>-2500</v>
      </c>
      <c r="F362" s="6">
        <f t="shared" si="7"/>
        <v>43</v>
      </c>
    </row>
    <row r="363" ht="12.75">
      <c r="A363" s="6">
        <v>2024</v>
      </c>
      <c r="B363" s="10" t="s">
        <v>35</v>
      </c>
      <c r="C363" s="10" t="s">
        <v>275</v>
      </c>
      <c r="D363" s="10" t="s">
        <v>167</v>
      </c>
      <c r="E363" s="11">
        <v>-2500</v>
      </c>
      <c r="F363" s="6">
        <f t="shared" si="7"/>
        <v>43</v>
      </c>
    </row>
    <row r="364" ht="12.75">
      <c r="A364" s="6">
        <v>2024</v>
      </c>
      <c r="B364" s="10" t="s">
        <v>35</v>
      </c>
      <c r="C364" s="10" t="s">
        <v>275</v>
      </c>
      <c r="D364" s="10" t="s">
        <v>168</v>
      </c>
      <c r="E364" s="11">
        <v>-3800</v>
      </c>
      <c r="F364" s="6">
        <f t="shared" si="7"/>
        <v>43</v>
      </c>
    </row>
    <row r="365" ht="12.75">
      <c r="A365" s="6">
        <v>2024</v>
      </c>
      <c r="B365" s="10" t="s">
        <v>35</v>
      </c>
      <c r="C365" s="10" t="s">
        <v>275</v>
      </c>
      <c r="D365" s="10" t="s">
        <v>169</v>
      </c>
      <c r="E365" s="11">
        <v>-1000</v>
      </c>
      <c r="F365" s="6">
        <f t="shared" si="7"/>
        <v>43</v>
      </c>
    </row>
    <row r="366" ht="12.75">
      <c r="A366" s="6">
        <v>2024</v>
      </c>
      <c r="B366" s="10" t="s">
        <v>35</v>
      </c>
      <c r="C366" s="10" t="s">
        <v>275</v>
      </c>
      <c r="D366" s="10" t="s">
        <v>170</v>
      </c>
      <c r="E366" s="11">
        <v>-20000</v>
      </c>
      <c r="F366" s="6">
        <f t="shared" si="7"/>
        <v>43</v>
      </c>
    </row>
    <row r="367" ht="12.75">
      <c r="A367" s="6">
        <v>2024</v>
      </c>
      <c r="B367" s="10" t="s">
        <v>35</v>
      </c>
      <c r="C367" s="10" t="s">
        <v>275</v>
      </c>
      <c r="D367" s="10" t="s">
        <v>277</v>
      </c>
      <c r="E367" s="11">
        <v>-500</v>
      </c>
      <c r="F367" s="6">
        <f t="shared" si="7"/>
        <v>43</v>
      </c>
    </row>
    <row r="368" ht="12.75">
      <c r="A368" s="6">
        <v>2024</v>
      </c>
      <c r="B368" s="10" t="s">
        <v>35</v>
      </c>
      <c r="C368" s="10" t="s">
        <v>275</v>
      </c>
      <c r="D368" s="10" t="s">
        <v>173</v>
      </c>
      <c r="E368" s="11">
        <v>-7306.9499999999998</v>
      </c>
      <c r="F368" s="6">
        <f t="shared" si="7"/>
        <v>43</v>
      </c>
    </row>
    <row r="369" ht="12.75">
      <c r="A369" s="6">
        <v>2024</v>
      </c>
      <c r="B369" s="10" t="s">
        <v>35</v>
      </c>
      <c r="C369" s="10" t="s">
        <v>275</v>
      </c>
      <c r="D369" s="10" t="s">
        <v>174</v>
      </c>
      <c r="E369" s="11">
        <v>-95515.830000000002</v>
      </c>
      <c r="F369" s="6">
        <f t="shared" si="7"/>
        <v>43</v>
      </c>
    </row>
    <row r="370" ht="12.75">
      <c r="A370" s="6">
        <v>2024</v>
      </c>
      <c r="B370" s="10" t="s">
        <v>35</v>
      </c>
      <c r="C370" s="10" t="s">
        <v>275</v>
      </c>
      <c r="D370" s="10" t="s">
        <v>175</v>
      </c>
      <c r="E370" s="11">
        <v>-11000</v>
      </c>
      <c r="F370" s="6">
        <f t="shared" si="7"/>
        <v>43</v>
      </c>
    </row>
    <row r="371" ht="12.75">
      <c r="A371" s="6">
        <v>2024</v>
      </c>
      <c r="B371" s="10" t="s">
        <v>35</v>
      </c>
      <c r="C371" s="10" t="s">
        <v>275</v>
      </c>
      <c r="D371" s="10" t="s">
        <v>176</v>
      </c>
      <c r="E371" s="11">
        <v>-3820.6199999999999</v>
      </c>
      <c r="F371" s="6">
        <f t="shared" si="7"/>
        <v>43</v>
      </c>
    </row>
    <row r="372" ht="12.75">
      <c r="A372" s="6">
        <v>2024</v>
      </c>
      <c r="B372" s="10" t="s">
        <v>35</v>
      </c>
      <c r="C372" s="10" t="s">
        <v>275</v>
      </c>
      <c r="D372" s="10" t="s">
        <v>177</v>
      </c>
      <c r="E372" s="11">
        <v>-1000</v>
      </c>
      <c r="F372" s="6">
        <f t="shared" si="7"/>
        <v>43</v>
      </c>
    </row>
    <row r="373" ht="12.75">
      <c r="A373" s="6">
        <v>2024</v>
      </c>
      <c r="B373" s="10" t="s">
        <v>35</v>
      </c>
      <c r="C373" s="10" t="s">
        <v>275</v>
      </c>
      <c r="D373" s="10" t="s">
        <v>278</v>
      </c>
      <c r="E373" s="11">
        <v>0</v>
      </c>
      <c r="F373" s="6">
        <f t="shared" si="7"/>
        <v>43</v>
      </c>
    </row>
    <row r="374" ht="12.75">
      <c r="A374" s="6">
        <v>2024</v>
      </c>
      <c r="B374" s="10" t="s">
        <v>35</v>
      </c>
      <c r="C374" s="10" t="s">
        <v>279</v>
      </c>
      <c r="D374" s="10" t="s">
        <v>104</v>
      </c>
      <c r="E374" s="11">
        <v>-20000</v>
      </c>
      <c r="F374" s="6">
        <f t="shared" si="7"/>
        <v>44</v>
      </c>
    </row>
    <row r="375" ht="12.75">
      <c r="A375" s="6">
        <v>2024</v>
      </c>
      <c r="B375" s="10" t="s">
        <v>35</v>
      </c>
      <c r="C375" s="10" t="s">
        <v>279</v>
      </c>
      <c r="D375" s="10" t="s">
        <v>105</v>
      </c>
      <c r="E375" s="11">
        <v>-38000</v>
      </c>
      <c r="F375" s="6">
        <f t="shared" si="7"/>
        <v>44</v>
      </c>
    </row>
    <row r="376" ht="12.75">
      <c r="A376" s="6">
        <v>2024</v>
      </c>
      <c r="B376" s="10" t="s">
        <v>35</v>
      </c>
      <c r="C376" s="10" t="s">
        <v>279</v>
      </c>
      <c r="D376" s="10" t="s">
        <v>106</v>
      </c>
      <c r="E376" s="11">
        <v>-33000</v>
      </c>
      <c r="F376" s="6">
        <f t="shared" si="7"/>
        <v>44</v>
      </c>
    </row>
    <row r="377" ht="12.75">
      <c r="A377" s="6">
        <v>2024</v>
      </c>
      <c r="B377" s="10" t="s">
        <v>35</v>
      </c>
      <c r="C377" s="10" t="s">
        <v>279</v>
      </c>
      <c r="D377" s="10" t="s">
        <v>280</v>
      </c>
      <c r="E377" s="11">
        <v>-2000</v>
      </c>
      <c r="F377" s="6">
        <f t="shared" si="7"/>
        <v>44</v>
      </c>
    </row>
    <row r="378" ht="12.75">
      <c r="A378" s="6">
        <v>2024</v>
      </c>
      <c r="B378" s="10" t="s">
        <v>35</v>
      </c>
      <c r="C378" s="10" t="s">
        <v>279</v>
      </c>
      <c r="D378" s="10" t="s">
        <v>108</v>
      </c>
      <c r="E378" s="11">
        <v>-1000</v>
      </c>
      <c r="F378" s="6">
        <f t="shared" si="7"/>
        <v>44</v>
      </c>
    </row>
    <row r="379" ht="12.75">
      <c r="A379" s="6">
        <v>2024</v>
      </c>
      <c r="B379" s="10" t="s">
        <v>35</v>
      </c>
      <c r="C379" s="10" t="s">
        <v>279</v>
      </c>
      <c r="D379" s="10" t="s">
        <v>109</v>
      </c>
      <c r="E379" s="11">
        <v>-6000</v>
      </c>
      <c r="F379" s="6">
        <f t="shared" si="7"/>
        <v>44</v>
      </c>
    </row>
    <row r="380" ht="12.75">
      <c r="A380" s="6">
        <v>2024</v>
      </c>
      <c r="B380" s="10" t="s">
        <v>35</v>
      </c>
      <c r="C380" s="10" t="s">
        <v>279</v>
      </c>
      <c r="D380" s="10" t="s">
        <v>110</v>
      </c>
      <c r="E380" s="11">
        <v>-250</v>
      </c>
      <c r="F380" s="6">
        <f t="shared" si="7"/>
        <v>44</v>
      </c>
    </row>
    <row r="381" ht="12.75">
      <c r="A381" s="6">
        <v>2024</v>
      </c>
      <c r="B381" s="10" t="s">
        <v>35</v>
      </c>
      <c r="C381" s="10" t="s">
        <v>279</v>
      </c>
      <c r="D381" s="10" t="s">
        <v>111</v>
      </c>
      <c r="E381" s="11">
        <v>-5000</v>
      </c>
      <c r="F381" s="6">
        <f t="shared" si="7"/>
        <v>44</v>
      </c>
    </row>
    <row r="382" ht="12.75">
      <c r="A382" s="6">
        <v>2024</v>
      </c>
      <c r="B382" s="10" t="s">
        <v>35</v>
      </c>
      <c r="C382" s="10" t="s">
        <v>279</v>
      </c>
      <c r="D382" s="10" t="s">
        <v>112</v>
      </c>
      <c r="E382" s="11">
        <v>-200</v>
      </c>
      <c r="F382" s="6">
        <f t="shared" si="7"/>
        <v>44</v>
      </c>
    </row>
    <row r="383" ht="12.75">
      <c r="A383" s="6">
        <v>2024</v>
      </c>
      <c r="B383" s="10" t="s">
        <v>35</v>
      </c>
      <c r="C383" s="10" t="s">
        <v>281</v>
      </c>
      <c r="D383" s="10" t="s">
        <v>64</v>
      </c>
      <c r="E383" s="11">
        <v>-2500</v>
      </c>
      <c r="F383" s="6">
        <f t="shared" si="7"/>
        <v>45</v>
      </c>
    </row>
    <row r="384" ht="12.75">
      <c r="A384" s="6">
        <v>2024</v>
      </c>
      <c r="B384" s="10" t="s">
        <v>35</v>
      </c>
      <c r="C384" s="10" t="s">
        <v>281</v>
      </c>
      <c r="D384" s="10" t="s">
        <v>65</v>
      </c>
      <c r="E384" s="11">
        <v>-750</v>
      </c>
      <c r="F384" s="6">
        <f t="shared" si="7"/>
        <v>45</v>
      </c>
    </row>
    <row r="385" ht="12.75">
      <c r="A385" s="6">
        <v>2024</v>
      </c>
      <c r="B385" s="10" t="s">
        <v>35</v>
      </c>
      <c r="C385" s="10" t="s">
        <v>281</v>
      </c>
      <c r="D385" s="10" t="s">
        <v>66</v>
      </c>
      <c r="E385" s="11">
        <v>-650</v>
      </c>
      <c r="F385" s="6">
        <f t="shared" si="7"/>
        <v>45</v>
      </c>
    </row>
    <row r="386" ht="12.75">
      <c r="A386" s="6">
        <v>2024</v>
      </c>
      <c r="B386" s="10" t="s">
        <v>35</v>
      </c>
      <c r="C386" s="10" t="s">
        <v>282</v>
      </c>
      <c r="D386" s="10" t="s">
        <v>37</v>
      </c>
      <c r="E386" s="11">
        <v>-3500</v>
      </c>
      <c r="F386" s="6">
        <f t="shared" si="7"/>
        <v>46</v>
      </c>
    </row>
    <row r="387" ht="12.75">
      <c r="A387" s="6">
        <v>2024</v>
      </c>
      <c r="B387" s="10" t="s">
        <v>35</v>
      </c>
      <c r="C387" s="10" t="s">
        <v>282</v>
      </c>
      <c r="D387" s="10" t="s">
        <v>38</v>
      </c>
      <c r="E387" s="11">
        <v>0</v>
      </c>
      <c r="F387" s="6">
        <f t="shared" si="7"/>
        <v>46</v>
      </c>
    </row>
    <row r="388" ht="12.75">
      <c r="A388" s="6">
        <v>2024</v>
      </c>
      <c r="B388" s="10" t="s">
        <v>35</v>
      </c>
      <c r="C388" s="10" t="s">
        <v>282</v>
      </c>
      <c r="D388" s="10" t="s">
        <v>39</v>
      </c>
      <c r="E388" s="11">
        <v>-750</v>
      </c>
      <c r="F388" s="6">
        <f t="shared" si="7"/>
        <v>46</v>
      </c>
    </row>
    <row r="389" ht="12.75">
      <c r="A389" s="6">
        <v>2024</v>
      </c>
      <c r="B389" s="10" t="s">
        <v>35</v>
      </c>
      <c r="C389" s="10" t="s">
        <v>282</v>
      </c>
      <c r="D389" s="10" t="s">
        <v>40</v>
      </c>
      <c r="E389" s="11">
        <v>-18000</v>
      </c>
      <c r="F389" s="6">
        <f t="shared" si="7"/>
        <v>46</v>
      </c>
    </row>
    <row r="390" ht="12.75">
      <c r="A390" s="6">
        <v>2024</v>
      </c>
      <c r="B390" s="10" t="s">
        <v>35</v>
      </c>
      <c r="C390" s="10" t="s">
        <v>282</v>
      </c>
      <c r="D390" s="10" t="s">
        <v>41</v>
      </c>
      <c r="E390" s="11">
        <v>-4000</v>
      </c>
      <c r="F390" s="6">
        <f t="shared" si="7"/>
        <v>46</v>
      </c>
    </row>
    <row r="391" ht="12.75">
      <c r="A391" s="6">
        <v>2024</v>
      </c>
      <c r="B391" s="10" t="s">
        <v>35</v>
      </c>
      <c r="C391" s="10" t="s">
        <v>282</v>
      </c>
      <c r="D391" s="10" t="s">
        <v>42</v>
      </c>
      <c r="E391" s="11">
        <v>-3000</v>
      </c>
      <c r="F391" s="6">
        <f t="shared" si="7"/>
        <v>46</v>
      </c>
    </row>
    <row r="392" ht="12.75">
      <c r="A392" s="6">
        <v>2024</v>
      </c>
      <c r="B392" s="10" t="s">
        <v>35</v>
      </c>
      <c r="C392" s="10" t="s">
        <v>282</v>
      </c>
      <c r="D392" s="10" t="s">
        <v>43</v>
      </c>
      <c r="E392" s="11">
        <v>-1500</v>
      </c>
      <c r="F392" s="6">
        <f t="shared" si="7"/>
        <v>46</v>
      </c>
    </row>
    <row r="393" ht="12.75">
      <c r="A393" s="6">
        <v>2024</v>
      </c>
      <c r="B393" s="10" t="s">
        <v>35</v>
      </c>
      <c r="C393" s="10" t="s">
        <v>282</v>
      </c>
      <c r="D393" s="10" t="s">
        <v>44</v>
      </c>
      <c r="E393" s="11">
        <v>-1000</v>
      </c>
      <c r="F393" s="6">
        <f t="shared" si="7"/>
        <v>46</v>
      </c>
    </row>
    <row r="394" ht="12.75">
      <c r="A394" s="6">
        <v>2024</v>
      </c>
      <c r="B394" s="10" t="s">
        <v>35</v>
      </c>
      <c r="C394" s="10" t="s">
        <v>282</v>
      </c>
      <c r="D394" s="10" t="s">
        <v>45</v>
      </c>
      <c r="E394" s="11">
        <v>-3000</v>
      </c>
      <c r="F394" s="6">
        <f t="shared" si="7"/>
        <v>46</v>
      </c>
    </row>
    <row r="395" ht="12.75">
      <c r="A395" s="6">
        <v>2024</v>
      </c>
      <c r="B395" s="10" t="s">
        <v>35</v>
      </c>
      <c r="C395" s="10" t="s">
        <v>282</v>
      </c>
      <c r="D395" s="10" t="s">
        <v>46</v>
      </c>
      <c r="E395" s="11">
        <v>-2000</v>
      </c>
      <c r="F395" s="6">
        <f t="shared" si="7"/>
        <v>46</v>
      </c>
    </row>
    <row r="396" ht="12.75">
      <c r="A396" s="6">
        <v>2024</v>
      </c>
      <c r="B396" s="10" t="s">
        <v>35</v>
      </c>
      <c r="C396" s="10" t="s">
        <v>282</v>
      </c>
      <c r="D396" s="10" t="s">
        <v>283</v>
      </c>
      <c r="E396" s="11">
        <v>-500</v>
      </c>
      <c r="F396" s="6">
        <f t="shared" si="7"/>
        <v>46</v>
      </c>
    </row>
    <row r="397" ht="12.75">
      <c r="A397" s="6">
        <v>2024</v>
      </c>
      <c r="B397" s="10" t="s">
        <v>35</v>
      </c>
      <c r="C397" s="10" t="s">
        <v>282</v>
      </c>
      <c r="D397" s="10" t="s">
        <v>47</v>
      </c>
      <c r="E397" s="11">
        <v>-500</v>
      </c>
      <c r="F397" s="6">
        <f t="shared" si="7"/>
        <v>46</v>
      </c>
    </row>
    <row r="398" ht="12.75">
      <c r="A398" s="6">
        <v>2024</v>
      </c>
      <c r="B398" s="10" t="s">
        <v>35</v>
      </c>
      <c r="C398" s="10" t="s">
        <v>282</v>
      </c>
      <c r="D398" s="10" t="s">
        <v>48</v>
      </c>
      <c r="E398" s="11">
        <v>-4500</v>
      </c>
      <c r="F398" s="6">
        <f t="shared" si="7"/>
        <v>46</v>
      </c>
    </row>
    <row r="399" ht="12.75">
      <c r="A399" s="6">
        <v>2024</v>
      </c>
      <c r="B399" s="10" t="s">
        <v>35</v>
      </c>
      <c r="C399" s="10" t="s">
        <v>282</v>
      </c>
      <c r="D399" s="10" t="s">
        <v>49</v>
      </c>
      <c r="E399" s="11">
        <v>-5000</v>
      </c>
      <c r="F399" s="6">
        <f t="shared" si="7"/>
        <v>46</v>
      </c>
    </row>
    <row r="400" ht="12.75">
      <c r="A400" s="6">
        <v>2024</v>
      </c>
      <c r="B400" s="10" t="s">
        <v>35</v>
      </c>
      <c r="C400" s="10" t="s">
        <v>282</v>
      </c>
      <c r="D400" s="10" t="s">
        <v>51</v>
      </c>
      <c r="E400" s="11">
        <v>-6618</v>
      </c>
      <c r="F400" s="6">
        <f t="shared" si="7"/>
        <v>46</v>
      </c>
    </row>
    <row r="401" ht="12.75">
      <c r="A401" s="6">
        <v>2024</v>
      </c>
      <c r="B401" s="10" t="s">
        <v>35</v>
      </c>
      <c r="C401" s="10" t="s">
        <v>282</v>
      </c>
      <c r="D401" s="10" t="s">
        <v>52</v>
      </c>
      <c r="E401" s="11">
        <v>-86513.919999999998</v>
      </c>
      <c r="F401" s="6">
        <f t="shared" si="7"/>
        <v>46</v>
      </c>
    </row>
    <row r="402" ht="12.75">
      <c r="A402" s="6">
        <v>2024</v>
      </c>
      <c r="B402" s="10" t="s">
        <v>35</v>
      </c>
      <c r="C402" s="10" t="s">
        <v>282</v>
      </c>
      <c r="D402" s="10" t="s">
        <v>53</v>
      </c>
      <c r="E402" s="11">
        <v>-2560</v>
      </c>
      <c r="F402" s="6">
        <f t="shared" si="7"/>
        <v>46</v>
      </c>
    </row>
    <row r="403" ht="12.75">
      <c r="A403" s="6">
        <v>2024</v>
      </c>
      <c r="B403" s="10" t="s">
        <v>35</v>
      </c>
      <c r="C403" s="10" t="s">
        <v>282</v>
      </c>
      <c r="D403" s="10" t="s">
        <v>54</v>
      </c>
      <c r="E403" s="11">
        <v>-11000</v>
      </c>
      <c r="F403" s="6">
        <f t="shared" si="7"/>
        <v>46</v>
      </c>
    </row>
    <row r="404" ht="12.75">
      <c r="A404" s="6">
        <v>2024</v>
      </c>
      <c r="B404" s="10" t="s">
        <v>35</v>
      </c>
      <c r="C404" s="10" t="s">
        <v>282</v>
      </c>
      <c r="D404" s="10" t="s">
        <v>55</v>
      </c>
      <c r="E404" s="11">
        <v>-1000</v>
      </c>
      <c r="F404" s="6">
        <f t="shared" si="7"/>
        <v>46</v>
      </c>
    </row>
    <row r="405" ht="12.75">
      <c r="A405" s="6">
        <v>2024</v>
      </c>
      <c r="B405" s="10" t="s">
        <v>35</v>
      </c>
      <c r="C405" s="10" t="s">
        <v>284</v>
      </c>
      <c r="D405" s="10" t="s">
        <v>285</v>
      </c>
      <c r="E405" s="11">
        <v>-1000</v>
      </c>
      <c r="F405" s="6">
        <f t="shared" si="7"/>
        <v>47</v>
      </c>
    </row>
    <row r="406" ht="12.75">
      <c r="A406" s="6">
        <v>2024</v>
      </c>
      <c r="B406" s="10" t="s">
        <v>35</v>
      </c>
      <c r="C406" s="10" t="s">
        <v>284</v>
      </c>
      <c r="D406" s="10" t="s">
        <v>84</v>
      </c>
      <c r="E406" s="11">
        <v>-1000</v>
      </c>
      <c r="F406" s="6">
        <f t="shared" si="7"/>
        <v>47</v>
      </c>
    </row>
    <row r="407" ht="12.75">
      <c r="A407" s="6">
        <v>2024</v>
      </c>
      <c r="B407" s="10" t="s">
        <v>35</v>
      </c>
      <c r="C407" s="10" t="s">
        <v>284</v>
      </c>
      <c r="D407" s="10" t="s">
        <v>85</v>
      </c>
      <c r="E407" s="11">
        <v>-1500</v>
      </c>
      <c r="F407" s="6">
        <f t="shared" si="7"/>
        <v>47</v>
      </c>
    </row>
    <row r="408" ht="12.75">
      <c r="A408" s="6">
        <v>2024</v>
      </c>
      <c r="B408" s="10" t="s">
        <v>35</v>
      </c>
      <c r="C408" s="10" t="s">
        <v>284</v>
      </c>
      <c r="D408" s="10" t="s">
        <v>86</v>
      </c>
      <c r="E408" s="11">
        <v>-500</v>
      </c>
      <c r="F408" s="6">
        <f t="shared" si="7"/>
        <v>47</v>
      </c>
    </row>
    <row r="409" ht="12.75">
      <c r="A409" s="6">
        <v>2024</v>
      </c>
      <c r="B409" s="10" t="s">
        <v>35</v>
      </c>
      <c r="C409" s="10" t="s">
        <v>284</v>
      </c>
      <c r="D409" s="10" t="s">
        <v>87</v>
      </c>
      <c r="E409" s="11">
        <v>-2000</v>
      </c>
      <c r="F409" s="6">
        <f t="shared" si="7"/>
        <v>47</v>
      </c>
    </row>
    <row r="410" ht="12.75">
      <c r="A410" s="6">
        <v>2024</v>
      </c>
      <c r="B410" s="10" t="s">
        <v>35</v>
      </c>
      <c r="C410" s="10" t="s">
        <v>284</v>
      </c>
      <c r="D410" s="10" t="s">
        <v>286</v>
      </c>
      <c r="E410" s="11">
        <v>-1000</v>
      </c>
      <c r="F410" s="6">
        <f t="shared" si="7"/>
        <v>47</v>
      </c>
    </row>
    <row r="411" ht="12.75">
      <c r="A411" s="6">
        <v>2024</v>
      </c>
      <c r="B411" s="10" t="s">
        <v>35</v>
      </c>
      <c r="C411" s="10" t="s">
        <v>284</v>
      </c>
      <c r="D411" s="10" t="s">
        <v>90</v>
      </c>
      <c r="E411" s="11">
        <v>-20000</v>
      </c>
      <c r="F411" s="6">
        <f t="shared" si="7"/>
        <v>47</v>
      </c>
    </row>
    <row r="412" ht="12.75">
      <c r="A412" s="6">
        <v>2024</v>
      </c>
      <c r="B412" s="10" t="s">
        <v>35</v>
      </c>
      <c r="C412" s="10" t="s">
        <v>284</v>
      </c>
      <c r="D412" s="10" t="s">
        <v>91</v>
      </c>
      <c r="E412" s="11">
        <v>-1530</v>
      </c>
      <c r="F412" s="6">
        <f t="shared" si="7"/>
        <v>47</v>
      </c>
    </row>
    <row r="413" ht="12.75">
      <c r="A413" s="6">
        <v>2024</v>
      </c>
      <c r="B413" s="10" t="s">
        <v>35</v>
      </c>
      <c r="C413" s="10" t="s">
        <v>284</v>
      </c>
      <c r="D413" s="10" t="s">
        <v>92</v>
      </c>
      <c r="E413" s="11">
        <v>0</v>
      </c>
      <c r="F413" s="6">
        <f t="shared" si="7"/>
        <v>47</v>
      </c>
    </row>
    <row r="414" ht="12.75">
      <c r="A414" s="6">
        <v>2024</v>
      </c>
      <c r="B414" s="10" t="s">
        <v>35</v>
      </c>
      <c r="C414" s="10" t="s">
        <v>284</v>
      </c>
      <c r="D414" s="10" t="s">
        <v>93</v>
      </c>
      <c r="E414" s="11">
        <v>0</v>
      </c>
      <c r="F414" s="6">
        <f t="shared" si="7"/>
        <v>47</v>
      </c>
    </row>
    <row r="415" ht="12.75">
      <c r="A415" s="1">
        <v>2025</v>
      </c>
      <c r="B415" s="1" t="s">
        <v>5</v>
      </c>
      <c r="C415" s="7" t="s">
        <v>287</v>
      </c>
      <c r="D415" s="12" t="s">
        <v>7</v>
      </c>
      <c r="E415" s="13">
        <v>14000</v>
      </c>
      <c r="F415" s="1"/>
      <c r="G415" s="1"/>
      <c r="H415" s="1"/>
      <c r="I415" s="1"/>
    </row>
    <row r="416" ht="12.75">
      <c r="A416" s="1">
        <v>2025</v>
      </c>
      <c r="B416" s="1" t="s">
        <v>5</v>
      </c>
      <c r="C416" s="7" t="s">
        <v>238</v>
      </c>
      <c r="D416" s="12" t="s">
        <v>8</v>
      </c>
      <c r="E416" s="14">
        <v>300000</v>
      </c>
      <c r="F416" s="15"/>
      <c r="G416" s="15"/>
      <c r="H416" s="15"/>
      <c r="I416" s="1"/>
    </row>
    <row r="417" ht="12.75">
      <c r="A417" s="1">
        <v>2025</v>
      </c>
      <c r="B417" s="1" t="s">
        <v>5</v>
      </c>
      <c r="C417" s="7" t="s">
        <v>238</v>
      </c>
      <c r="D417" s="12" t="s">
        <v>9</v>
      </c>
      <c r="E417" s="16">
        <v>8000</v>
      </c>
      <c r="F417" s="15"/>
      <c r="G417" s="15"/>
      <c r="H417" s="1"/>
      <c r="I417" s="1"/>
    </row>
    <row r="418" ht="12.75">
      <c r="A418" s="1">
        <v>2025</v>
      </c>
      <c r="B418" s="1" t="s">
        <v>5</v>
      </c>
      <c r="C418" s="7" t="s">
        <v>238</v>
      </c>
      <c r="D418" s="12" t="s">
        <v>10</v>
      </c>
      <c r="E418" s="16">
        <v>7000</v>
      </c>
      <c r="F418" s="15"/>
      <c r="G418" s="15"/>
      <c r="H418" s="1"/>
      <c r="I418" s="1"/>
    </row>
    <row r="419" ht="12.75">
      <c r="A419" s="1">
        <v>2025</v>
      </c>
      <c r="B419" s="1" t="s">
        <v>5</v>
      </c>
      <c r="C419" s="7" t="s">
        <v>238</v>
      </c>
      <c r="D419" s="17" t="s">
        <v>239</v>
      </c>
      <c r="E419" s="16">
        <v>3000</v>
      </c>
      <c r="F419" s="15"/>
      <c r="G419" s="15"/>
      <c r="H419" s="1"/>
      <c r="I419" s="1"/>
    </row>
    <row r="420" ht="12.75">
      <c r="A420" s="1">
        <v>2025</v>
      </c>
      <c r="B420" s="1" t="s">
        <v>5</v>
      </c>
      <c r="C420" s="7" t="s">
        <v>238</v>
      </c>
      <c r="D420" s="17" t="s">
        <v>240</v>
      </c>
      <c r="E420" s="16">
        <v>3000</v>
      </c>
      <c r="F420" s="15"/>
      <c r="G420" s="15"/>
      <c r="H420" s="1"/>
      <c r="I420" s="1"/>
    </row>
    <row r="421" ht="12.75">
      <c r="A421" s="1">
        <v>2025</v>
      </c>
      <c r="B421" s="1" t="s">
        <v>5</v>
      </c>
      <c r="C421" s="7" t="s">
        <v>238</v>
      </c>
      <c r="D421" s="17" t="s">
        <v>241</v>
      </c>
      <c r="E421" s="16">
        <v>3000</v>
      </c>
      <c r="F421" s="15"/>
      <c r="G421" s="15"/>
      <c r="H421" s="1"/>
      <c r="I421" s="1"/>
    </row>
    <row r="422" ht="12.75">
      <c r="A422" s="1">
        <v>2025</v>
      </c>
      <c r="B422" s="1" t="s">
        <v>5</v>
      </c>
      <c r="C422" s="7" t="s">
        <v>238</v>
      </c>
      <c r="D422" s="12" t="s">
        <v>11</v>
      </c>
      <c r="E422" s="16">
        <v>1000</v>
      </c>
      <c r="F422" s="15"/>
      <c r="G422" s="15"/>
      <c r="H422" s="1"/>
      <c r="I422" s="1"/>
    </row>
    <row r="423" ht="12.75">
      <c r="A423" s="1">
        <v>2025</v>
      </c>
      <c r="B423" s="1" t="s">
        <v>5</v>
      </c>
      <c r="C423" s="7" t="s">
        <v>238</v>
      </c>
      <c r="D423" s="18" t="s">
        <v>12</v>
      </c>
      <c r="E423" s="19">
        <v>30000</v>
      </c>
      <c r="F423" s="15"/>
      <c r="G423" s="15"/>
      <c r="H423" s="1"/>
      <c r="I423" s="1"/>
    </row>
    <row r="424" ht="12.75">
      <c r="A424" s="1">
        <v>2025</v>
      </c>
      <c r="B424" s="1" t="s">
        <v>5</v>
      </c>
      <c r="C424" s="7" t="s">
        <v>238</v>
      </c>
      <c r="D424" s="17" t="s">
        <v>16</v>
      </c>
      <c r="E424" s="16">
        <v>8000</v>
      </c>
      <c r="F424" s="15"/>
      <c r="G424" s="15"/>
      <c r="H424" s="1"/>
      <c r="I424" s="1"/>
    </row>
    <row r="425" ht="12.75">
      <c r="A425" s="1">
        <v>2025</v>
      </c>
      <c r="B425" s="1" t="s">
        <v>5</v>
      </c>
      <c r="C425" s="7" t="s">
        <v>238</v>
      </c>
      <c r="D425" s="12" t="s">
        <v>242</v>
      </c>
      <c r="E425" s="16">
        <v>200</v>
      </c>
      <c r="F425" s="15"/>
      <c r="G425" s="15"/>
      <c r="H425" s="1"/>
      <c r="I425" s="1"/>
    </row>
    <row r="426" ht="12.75">
      <c r="A426" s="1">
        <v>2025</v>
      </c>
      <c r="B426" s="1" t="s">
        <v>5</v>
      </c>
      <c r="C426" s="7" t="s">
        <v>238</v>
      </c>
      <c r="D426" s="12" t="s">
        <v>243</v>
      </c>
      <c r="E426" s="20">
        <v>2000</v>
      </c>
      <c r="F426" s="15"/>
      <c r="G426" s="15"/>
      <c r="H426" s="1"/>
      <c r="I426" s="1"/>
    </row>
    <row r="427" ht="12.75">
      <c r="A427" s="1">
        <v>2025</v>
      </c>
      <c r="B427" s="1" t="s">
        <v>5</v>
      </c>
      <c r="C427" s="7" t="s">
        <v>238</v>
      </c>
      <c r="D427" s="12" t="s">
        <v>14</v>
      </c>
      <c r="E427" s="16">
        <v>0</v>
      </c>
      <c r="F427" s="15"/>
      <c r="G427" s="15"/>
      <c r="H427" s="1"/>
      <c r="I427" s="1"/>
    </row>
    <row r="428" ht="12.75">
      <c r="A428" s="1">
        <v>2025</v>
      </c>
      <c r="B428" s="1" t="s">
        <v>5</v>
      </c>
      <c r="C428" s="7" t="s">
        <v>238</v>
      </c>
      <c r="D428" s="12" t="s">
        <v>288</v>
      </c>
      <c r="E428" s="16">
        <v>0</v>
      </c>
      <c r="F428" s="15"/>
      <c r="G428" s="15"/>
      <c r="H428" s="1"/>
      <c r="I428" s="1"/>
    </row>
    <row r="429" ht="12.75">
      <c r="A429" s="1">
        <v>2025</v>
      </c>
      <c r="B429" s="1" t="s">
        <v>5</v>
      </c>
      <c r="C429" s="7" t="s">
        <v>244</v>
      </c>
      <c r="D429" s="21" t="s">
        <v>289</v>
      </c>
      <c r="E429" s="22">
        <v>40000</v>
      </c>
      <c r="F429" s="15"/>
      <c r="G429" s="15"/>
      <c r="H429" s="1"/>
      <c r="I429" s="1"/>
    </row>
    <row r="430" ht="12.75">
      <c r="A430" s="1">
        <v>2025</v>
      </c>
      <c r="B430" s="1" t="s">
        <v>5</v>
      </c>
      <c r="C430" s="7" t="s">
        <v>244</v>
      </c>
      <c r="D430" s="21" t="s">
        <v>245</v>
      </c>
      <c r="E430" s="16">
        <v>0</v>
      </c>
      <c r="F430" s="15"/>
      <c r="G430" s="15"/>
      <c r="H430" s="1"/>
      <c r="I430" s="1"/>
    </row>
    <row r="431" ht="12.75">
      <c r="A431" s="1">
        <v>2025</v>
      </c>
      <c r="B431" s="1" t="s">
        <v>5</v>
      </c>
      <c r="C431" s="7" t="s">
        <v>244</v>
      </c>
      <c r="D431" s="23" t="s">
        <v>23</v>
      </c>
      <c r="E431" s="24">
        <f>195500*0.055/0.05</f>
        <v>215050</v>
      </c>
      <c r="F431" s="15"/>
      <c r="G431" s="15"/>
      <c r="H431" s="1"/>
      <c r="I431" s="1"/>
    </row>
    <row r="432" ht="12.75">
      <c r="A432" s="1">
        <v>2025</v>
      </c>
      <c r="B432" s="1" t="s">
        <v>5</v>
      </c>
      <c r="C432" s="7" t="s">
        <v>244</v>
      </c>
      <c r="D432" s="12" t="s">
        <v>24</v>
      </c>
      <c r="E432" s="16">
        <v>140000</v>
      </c>
      <c r="F432" s="15"/>
      <c r="G432" s="15"/>
      <c r="H432" s="1"/>
      <c r="I432" s="1"/>
    </row>
    <row r="433" ht="12.75">
      <c r="A433" s="1">
        <v>2025</v>
      </c>
      <c r="B433" s="1" t="s">
        <v>5</v>
      </c>
      <c r="C433" s="7" t="s">
        <v>244</v>
      </c>
      <c r="D433" s="12" t="s">
        <v>25</v>
      </c>
      <c r="E433" s="25">
        <v>17000</v>
      </c>
      <c r="F433" s="26"/>
      <c r="G433" s="27"/>
      <c r="H433" s="1"/>
      <c r="I433" s="1"/>
    </row>
    <row r="434" ht="12.75">
      <c r="A434" s="1">
        <v>2025</v>
      </c>
      <c r="B434" s="1" t="s">
        <v>5</v>
      </c>
      <c r="C434" s="7" t="s">
        <v>244</v>
      </c>
      <c r="D434" s="21" t="s">
        <v>26</v>
      </c>
      <c r="E434" s="28">
        <v>36900</v>
      </c>
      <c r="F434" s="15"/>
      <c r="G434" s="15"/>
      <c r="H434" s="1"/>
      <c r="I434" s="1"/>
    </row>
    <row r="435" ht="12.75">
      <c r="A435" s="1">
        <v>2025</v>
      </c>
      <c r="B435" s="1" t="s">
        <v>5</v>
      </c>
      <c r="C435" s="7" t="s">
        <v>244</v>
      </c>
      <c r="D435" s="12" t="s">
        <v>27</v>
      </c>
      <c r="E435" s="28">
        <v>25100</v>
      </c>
      <c r="F435" s="15"/>
      <c r="G435" s="15"/>
      <c r="H435" s="1"/>
      <c r="I435" s="1"/>
    </row>
    <row r="436" ht="12.75">
      <c r="A436" s="1">
        <v>2025</v>
      </c>
      <c r="B436" s="1" t="s">
        <v>5</v>
      </c>
      <c r="C436" s="7" t="s">
        <v>246</v>
      </c>
      <c r="D436" s="12" t="s">
        <v>18</v>
      </c>
      <c r="E436" s="16">
        <v>70000</v>
      </c>
      <c r="F436" s="15"/>
      <c r="G436" s="15"/>
      <c r="H436" s="1"/>
      <c r="I436" s="1"/>
    </row>
    <row r="437" ht="12.75">
      <c r="A437" s="1">
        <v>2025</v>
      </c>
      <c r="B437" s="1" t="s">
        <v>5</v>
      </c>
      <c r="C437" s="7" t="s">
        <v>246</v>
      </c>
      <c r="D437" s="12" t="s">
        <v>19</v>
      </c>
      <c r="E437" s="16">
        <f>246500-E438-E436</f>
        <v>76500</v>
      </c>
      <c r="F437" s="15"/>
      <c r="G437" s="15"/>
      <c r="H437" s="1"/>
      <c r="I437" s="1"/>
    </row>
    <row r="438" ht="12.75">
      <c r="A438" s="1">
        <v>2025</v>
      </c>
      <c r="B438" s="1" t="s">
        <v>5</v>
      </c>
      <c r="C438" s="7" t="s">
        <v>246</v>
      </c>
      <c r="D438" s="12" t="s">
        <v>20</v>
      </c>
      <c r="E438" s="16">
        <v>100000</v>
      </c>
      <c r="F438" s="15"/>
      <c r="G438" s="15"/>
      <c r="H438" s="1"/>
      <c r="I438" s="1"/>
    </row>
    <row r="439" ht="12.75">
      <c r="A439" s="1">
        <v>2025</v>
      </c>
      <c r="B439" s="1" t="s">
        <v>5</v>
      </c>
      <c r="C439" s="7" t="s">
        <v>247</v>
      </c>
      <c r="D439" s="12" t="s">
        <v>29</v>
      </c>
      <c r="E439" s="14">
        <v>10000</v>
      </c>
      <c r="F439" s="15"/>
      <c r="G439" s="15"/>
      <c r="H439" s="1"/>
      <c r="I439" s="1"/>
    </row>
    <row r="440" ht="12.75">
      <c r="A440" s="1">
        <v>2025</v>
      </c>
      <c r="B440" s="1" t="s">
        <v>5</v>
      </c>
      <c r="C440" s="7" t="s">
        <v>247</v>
      </c>
      <c r="D440" s="12" t="s">
        <v>30</v>
      </c>
      <c r="E440" s="14">
        <v>3000</v>
      </c>
      <c r="F440" s="15"/>
      <c r="G440" s="15"/>
      <c r="H440" s="1"/>
      <c r="I440" s="1"/>
    </row>
    <row r="441" ht="12.75">
      <c r="A441" s="1">
        <v>2025</v>
      </c>
      <c r="B441" s="1" t="s">
        <v>5</v>
      </c>
      <c r="C441" s="7" t="s">
        <v>247</v>
      </c>
      <c r="D441" s="12" t="s">
        <v>31</v>
      </c>
      <c r="E441" s="14">
        <v>18000</v>
      </c>
      <c r="F441" s="15"/>
      <c r="G441" s="15"/>
      <c r="H441" s="1"/>
      <c r="I441" s="1"/>
    </row>
    <row r="442" ht="12.75">
      <c r="A442" s="1">
        <v>2025</v>
      </c>
      <c r="B442" s="1" t="s">
        <v>5</v>
      </c>
      <c r="C442" s="7" t="s">
        <v>247</v>
      </c>
      <c r="D442" s="12" t="s">
        <v>248</v>
      </c>
      <c r="E442" s="14">
        <v>1100</v>
      </c>
      <c r="F442" s="15"/>
      <c r="G442" s="15"/>
      <c r="H442" s="1"/>
      <c r="I442" s="1"/>
    </row>
    <row r="443" ht="12.75">
      <c r="A443" s="1">
        <v>2025</v>
      </c>
      <c r="B443" s="1" t="s">
        <v>5</v>
      </c>
      <c r="C443" s="7" t="s">
        <v>247</v>
      </c>
      <c r="D443" s="12" t="s">
        <v>33</v>
      </c>
      <c r="E443" s="14">
        <v>1000</v>
      </c>
      <c r="F443" s="15"/>
      <c r="G443" s="15"/>
      <c r="H443" s="1"/>
      <c r="I443" s="1"/>
    </row>
    <row r="444" ht="12.75">
      <c r="A444" s="1">
        <v>2025</v>
      </c>
      <c r="B444" s="1" t="s">
        <v>5</v>
      </c>
      <c r="C444" s="7" t="s">
        <v>247</v>
      </c>
      <c r="D444" s="12" t="s">
        <v>249</v>
      </c>
      <c r="E444" s="14">
        <v>5000</v>
      </c>
      <c r="F444" s="15"/>
      <c r="G444" s="15"/>
      <c r="H444" s="1"/>
      <c r="I444" s="1"/>
    </row>
    <row r="445" ht="12.75">
      <c r="A445" s="1">
        <v>2025</v>
      </c>
      <c r="B445" s="1" t="s">
        <v>35</v>
      </c>
      <c r="C445" s="7" t="s">
        <v>250</v>
      </c>
      <c r="D445" s="12" t="s">
        <v>208</v>
      </c>
      <c r="E445" s="29">
        <v>-2200</v>
      </c>
      <c r="F445" s="30"/>
      <c r="G445" s="15"/>
      <c r="H445" s="1"/>
      <c r="I445" s="1"/>
    </row>
    <row r="446" ht="12.75">
      <c r="A446" s="1">
        <v>2025</v>
      </c>
      <c r="B446" s="1" t="s">
        <v>35</v>
      </c>
      <c r="C446" s="7" t="s">
        <v>250</v>
      </c>
      <c r="D446" s="12" t="s">
        <v>209</v>
      </c>
      <c r="E446" s="31">
        <v>-57500</v>
      </c>
      <c r="F446" s="30"/>
      <c r="G446" s="15"/>
      <c r="H446" s="1"/>
      <c r="I446" s="1"/>
    </row>
    <row r="447" ht="12.75">
      <c r="A447" s="1">
        <v>2025</v>
      </c>
      <c r="B447" s="1" t="s">
        <v>35</v>
      </c>
      <c r="C447" s="7" t="s">
        <v>250</v>
      </c>
      <c r="D447" s="12" t="s">
        <v>210</v>
      </c>
      <c r="E447" s="31">
        <v>-10000</v>
      </c>
      <c r="F447" s="30"/>
      <c r="G447" s="15"/>
      <c r="H447" s="1"/>
      <c r="I447" s="1"/>
    </row>
    <row r="448" ht="12.75">
      <c r="A448" s="1">
        <v>2025</v>
      </c>
      <c r="B448" s="1" t="s">
        <v>35</v>
      </c>
      <c r="C448" s="7" t="s">
        <v>250</v>
      </c>
      <c r="D448" s="12" t="s">
        <v>211</v>
      </c>
      <c r="E448" s="31">
        <v>-13300</v>
      </c>
      <c r="F448" s="30"/>
      <c r="G448" s="15"/>
      <c r="H448" s="1"/>
      <c r="I448" s="1"/>
    </row>
    <row r="449" ht="12.75">
      <c r="A449" s="1">
        <v>2025</v>
      </c>
      <c r="B449" s="1" t="s">
        <v>35</v>
      </c>
      <c r="C449" s="7" t="s">
        <v>250</v>
      </c>
      <c r="D449" s="12" t="s">
        <v>212</v>
      </c>
      <c r="E449" s="31">
        <v>-7268</v>
      </c>
      <c r="F449" s="30"/>
      <c r="G449" s="15"/>
      <c r="H449" s="1"/>
      <c r="I449" s="1"/>
    </row>
    <row r="450" ht="12.75">
      <c r="A450" s="1">
        <v>2025</v>
      </c>
      <c r="B450" s="1" t="s">
        <v>35</v>
      </c>
      <c r="C450" s="7" t="s">
        <v>250</v>
      </c>
      <c r="D450" s="12" t="s">
        <v>213</v>
      </c>
      <c r="E450" s="31">
        <v>-5000</v>
      </c>
      <c r="F450" s="30"/>
      <c r="G450" s="15"/>
      <c r="H450" s="1"/>
      <c r="I450" s="1"/>
    </row>
    <row r="451" ht="12.75">
      <c r="A451" s="1">
        <v>2025</v>
      </c>
      <c r="B451" s="1" t="s">
        <v>35</v>
      </c>
      <c r="C451" s="7" t="s">
        <v>250</v>
      </c>
      <c r="D451" s="12" t="s">
        <v>214</v>
      </c>
      <c r="E451" s="31">
        <v>-37500</v>
      </c>
      <c r="F451" s="30"/>
      <c r="G451" s="15"/>
      <c r="H451" s="1"/>
      <c r="I451" s="1"/>
    </row>
    <row r="452" ht="12.75">
      <c r="A452" s="1">
        <v>2025</v>
      </c>
      <c r="B452" s="1" t="s">
        <v>35</v>
      </c>
      <c r="C452" s="7" t="s">
        <v>250</v>
      </c>
      <c r="D452" s="12" t="s">
        <v>215</v>
      </c>
      <c r="E452" s="31">
        <v>-1425</v>
      </c>
      <c r="F452" s="30"/>
      <c r="G452" s="15"/>
      <c r="H452" s="1"/>
      <c r="I452" s="1"/>
    </row>
    <row r="453" ht="12.75">
      <c r="A453" s="1">
        <v>2025</v>
      </c>
      <c r="B453" s="1" t="s">
        <v>35</v>
      </c>
      <c r="C453" s="7" t="s">
        <v>250</v>
      </c>
      <c r="D453" s="12" t="s">
        <v>290</v>
      </c>
      <c r="E453" s="32">
        <v>-10000</v>
      </c>
      <c r="F453" s="30"/>
      <c r="G453" s="15"/>
      <c r="H453" s="1"/>
      <c r="I453" s="1"/>
    </row>
    <row r="454" ht="12.75">
      <c r="A454" s="1">
        <v>2025</v>
      </c>
      <c r="B454" s="1" t="s">
        <v>35</v>
      </c>
      <c r="C454" s="7" t="s">
        <v>250</v>
      </c>
      <c r="D454" s="12" t="s">
        <v>204</v>
      </c>
      <c r="E454" s="29">
        <v>-1524</v>
      </c>
      <c r="F454" s="30"/>
      <c r="G454" s="15"/>
      <c r="H454" s="1"/>
      <c r="I454" s="1"/>
    </row>
    <row r="455" ht="12.75">
      <c r="A455" s="1">
        <v>2025</v>
      </c>
      <c r="B455" s="1" t="s">
        <v>35</v>
      </c>
      <c r="C455" s="7" t="s">
        <v>250</v>
      </c>
      <c r="D455" s="12" t="s">
        <v>205</v>
      </c>
      <c r="E455" s="29">
        <v>-44623</v>
      </c>
      <c r="F455" s="30"/>
      <c r="G455" s="15"/>
      <c r="H455" s="1"/>
      <c r="I455" s="1"/>
    </row>
    <row r="456" ht="12.75">
      <c r="A456" s="1">
        <v>2025</v>
      </c>
      <c r="B456" s="1" t="s">
        <v>35</v>
      </c>
      <c r="C456" s="7" t="s">
        <v>250</v>
      </c>
      <c r="D456" s="12" t="s">
        <v>206</v>
      </c>
      <c r="E456" s="33">
        <v>-1000</v>
      </c>
      <c r="F456" s="30"/>
      <c r="G456" s="15"/>
      <c r="H456" s="1"/>
      <c r="I456" s="1"/>
    </row>
    <row r="457" ht="12.75">
      <c r="A457" s="1">
        <v>2025</v>
      </c>
      <c r="B457" s="1" t="s">
        <v>35</v>
      </c>
      <c r="C457" s="7" t="s">
        <v>250</v>
      </c>
      <c r="D457" s="17" t="s">
        <v>251</v>
      </c>
      <c r="E457" s="29">
        <v>-18000</v>
      </c>
      <c r="F457" s="30"/>
      <c r="G457" s="15"/>
      <c r="H457" s="1"/>
      <c r="I457" s="1"/>
    </row>
    <row r="458" ht="12.75">
      <c r="A458" s="1">
        <v>2025</v>
      </c>
      <c r="B458" s="1" t="s">
        <v>35</v>
      </c>
      <c r="C458" s="7" t="s">
        <v>250</v>
      </c>
      <c r="D458" s="12" t="s">
        <v>179</v>
      </c>
      <c r="E458" s="33">
        <v>-200</v>
      </c>
      <c r="F458" s="30"/>
      <c r="G458" s="15"/>
      <c r="H458" s="1"/>
      <c r="I458" s="1"/>
    </row>
    <row r="459" ht="12.75">
      <c r="A459" s="1">
        <v>2025</v>
      </c>
      <c r="B459" s="1" t="s">
        <v>35</v>
      </c>
      <c r="C459" s="7" t="s">
        <v>250</v>
      </c>
      <c r="D459" s="12" t="s">
        <v>180</v>
      </c>
      <c r="E459" s="33">
        <v>-700</v>
      </c>
      <c r="F459" s="30"/>
      <c r="G459" s="15"/>
      <c r="H459" s="1"/>
      <c r="I459" s="1"/>
    </row>
    <row r="460" ht="12.75">
      <c r="A460" s="1">
        <v>2025</v>
      </c>
      <c r="B460" s="1" t="s">
        <v>35</v>
      </c>
      <c r="C460" s="7" t="s">
        <v>250</v>
      </c>
      <c r="D460" s="12" t="s">
        <v>181</v>
      </c>
      <c r="E460" s="33">
        <v>-12950</v>
      </c>
      <c r="F460" s="30"/>
      <c r="G460" s="15"/>
      <c r="H460" s="1"/>
      <c r="I460" s="1"/>
    </row>
    <row r="461" ht="12.75">
      <c r="A461" s="1">
        <v>2025</v>
      </c>
      <c r="B461" s="1" t="s">
        <v>35</v>
      </c>
      <c r="C461" s="7" t="s">
        <v>250</v>
      </c>
      <c r="D461" s="12" t="s">
        <v>182</v>
      </c>
      <c r="E461" s="33">
        <v>-1200</v>
      </c>
      <c r="F461" s="30"/>
      <c r="G461" s="15"/>
      <c r="H461" s="1"/>
      <c r="I461" s="1"/>
    </row>
    <row r="462" ht="12.75">
      <c r="A462" s="1">
        <v>2025</v>
      </c>
      <c r="B462" s="1" t="s">
        <v>35</v>
      </c>
      <c r="C462" s="7" t="s">
        <v>250</v>
      </c>
      <c r="D462" s="12" t="s">
        <v>183</v>
      </c>
      <c r="E462" s="33">
        <v>-250</v>
      </c>
      <c r="F462" s="30"/>
      <c r="G462" s="15"/>
      <c r="H462" s="1"/>
      <c r="I462" s="1"/>
    </row>
    <row r="463" ht="12.75">
      <c r="A463" s="1">
        <v>2025</v>
      </c>
      <c r="B463" s="1" t="s">
        <v>35</v>
      </c>
      <c r="C463" s="7" t="s">
        <v>250</v>
      </c>
      <c r="D463" s="12" t="s">
        <v>184</v>
      </c>
      <c r="E463" s="33">
        <v>-200</v>
      </c>
      <c r="F463" s="30"/>
      <c r="G463" s="15"/>
      <c r="H463" s="1"/>
      <c r="I463" s="1"/>
    </row>
    <row r="464" ht="12.75">
      <c r="A464" s="1">
        <v>2025</v>
      </c>
      <c r="B464" s="1" t="s">
        <v>35</v>
      </c>
      <c r="C464" s="7" t="s">
        <v>250</v>
      </c>
      <c r="D464" s="12" t="s">
        <v>185</v>
      </c>
      <c r="E464" s="33">
        <v>-1200</v>
      </c>
      <c r="F464" s="30"/>
      <c r="G464" s="15"/>
      <c r="H464" s="1"/>
      <c r="I464" s="1"/>
    </row>
    <row r="465" ht="12.75">
      <c r="A465" s="1">
        <v>2025</v>
      </c>
      <c r="B465" s="1" t="s">
        <v>35</v>
      </c>
      <c r="C465" s="7" t="s">
        <v>250</v>
      </c>
      <c r="D465" s="12" t="s">
        <v>186</v>
      </c>
      <c r="E465" s="33">
        <v>-200</v>
      </c>
      <c r="F465" s="30"/>
      <c r="G465" s="15"/>
      <c r="H465" s="1"/>
      <c r="I465" s="1"/>
    </row>
    <row r="466" ht="12.75">
      <c r="A466" s="1">
        <v>2025</v>
      </c>
      <c r="B466" s="1" t="s">
        <v>35</v>
      </c>
      <c r="C466" s="7" t="s">
        <v>250</v>
      </c>
      <c r="D466" s="12" t="s">
        <v>187</v>
      </c>
      <c r="E466" s="33">
        <v>-200</v>
      </c>
      <c r="F466" s="30"/>
      <c r="G466" s="15"/>
      <c r="H466" s="1"/>
      <c r="I466" s="1"/>
    </row>
    <row r="467" ht="12.75">
      <c r="A467" s="1">
        <v>2025</v>
      </c>
      <c r="B467" s="1" t="s">
        <v>35</v>
      </c>
      <c r="C467" s="7" t="s">
        <v>250</v>
      </c>
      <c r="D467" s="18" t="s">
        <v>188</v>
      </c>
      <c r="E467" s="34">
        <v>0</v>
      </c>
      <c r="F467" s="30"/>
      <c r="G467" s="15"/>
      <c r="H467" s="1"/>
      <c r="I467" s="1"/>
    </row>
    <row r="468" ht="12.75">
      <c r="A468" s="1">
        <v>2025</v>
      </c>
      <c r="B468" s="1" t="s">
        <v>35</v>
      </c>
      <c r="C468" s="7" t="s">
        <v>250</v>
      </c>
      <c r="D468" s="12" t="s">
        <v>189</v>
      </c>
      <c r="E468" s="33">
        <v>-3200</v>
      </c>
      <c r="F468" s="30"/>
      <c r="G468" s="15"/>
      <c r="H468" s="1"/>
      <c r="I468" s="1"/>
    </row>
    <row r="469" ht="12.75">
      <c r="A469" s="1">
        <v>2025</v>
      </c>
      <c r="B469" s="1" t="s">
        <v>35</v>
      </c>
      <c r="C469" s="7" t="s">
        <v>250</v>
      </c>
      <c r="D469" s="12" t="s">
        <v>190</v>
      </c>
      <c r="E469" s="33">
        <v>0</v>
      </c>
      <c r="F469" s="30"/>
      <c r="G469" s="15"/>
      <c r="H469" s="1"/>
      <c r="I469" s="1"/>
    </row>
    <row r="470" ht="12.75">
      <c r="A470" s="1">
        <v>2025</v>
      </c>
      <c r="B470" s="1" t="s">
        <v>35</v>
      </c>
      <c r="C470" s="7" t="s">
        <v>250</v>
      </c>
      <c r="D470" s="12" t="s">
        <v>191</v>
      </c>
      <c r="E470" s="33">
        <v>0</v>
      </c>
      <c r="F470" s="30"/>
      <c r="G470" s="15"/>
      <c r="H470" s="1"/>
      <c r="I470" s="1"/>
    </row>
    <row r="471" ht="12.75">
      <c r="A471" s="1">
        <v>2025</v>
      </c>
      <c r="B471" s="1" t="s">
        <v>35</v>
      </c>
      <c r="C471" s="7" t="s">
        <v>250</v>
      </c>
      <c r="D471" s="12" t="s">
        <v>192</v>
      </c>
      <c r="E471" s="33">
        <v>-100</v>
      </c>
      <c r="F471" s="30"/>
      <c r="G471" s="15"/>
      <c r="H471" s="1"/>
      <c r="I471" s="1"/>
    </row>
    <row r="472" ht="12.75">
      <c r="A472" s="1">
        <v>2025</v>
      </c>
      <c r="B472" s="1" t="s">
        <v>35</v>
      </c>
      <c r="C472" s="7" t="s">
        <v>250</v>
      </c>
      <c r="D472" s="12" t="s">
        <v>193</v>
      </c>
      <c r="E472" s="33">
        <v>-12000</v>
      </c>
      <c r="F472" s="30"/>
      <c r="G472" s="15"/>
      <c r="H472" s="1"/>
      <c r="I472" s="1"/>
    </row>
    <row r="473" ht="12.75">
      <c r="A473" s="1">
        <v>2025</v>
      </c>
      <c r="B473" s="1" t="s">
        <v>35</v>
      </c>
      <c r="C473" s="7" t="s">
        <v>250</v>
      </c>
      <c r="D473" s="18" t="s">
        <v>252</v>
      </c>
      <c r="E473" s="29">
        <v>-2000</v>
      </c>
      <c r="F473" s="30"/>
      <c r="G473" s="15"/>
      <c r="H473" s="1"/>
      <c r="I473" s="1"/>
    </row>
    <row r="474" ht="12.75">
      <c r="A474" s="1">
        <v>2025</v>
      </c>
      <c r="B474" s="1" t="s">
        <v>35</v>
      </c>
      <c r="C474" s="7" t="s">
        <v>250</v>
      </c>
      <c r="D474" s="18" t="s">
        <v>195</v>
      </c>
      <c r="E474" s="35">
        <v>0</v>
      </c>
      <c r="F474" s="30"/>
      <c r="G474" s="15"/>
      <c r="H474" s="1"/>
      <c r="I474" s="1"/>
    </row>
    <row r="475" ht="12.75">
      <c r="A475" s="1">
        <v>2025</v>
      </c>
      <c r="B475" s="1" t="s">
        <v>35</v>
      </c>
      <c r="C475" s="7" t="s">
        <v>250</v>
      </c>
      <c r="D475" s="18" t="s">
        <v>196</v>
      </c>
      <c r="E475" s="35">
        <v>-1000</v>
      </c>
      <c r="F475" s="30"/>
      <c r="G475" s="15"/>
      <c r="H475" s="1"/>
      <c r="I475" s="1"/>
    </row>
    <row r="476" ht="12.75">
      <c r="A476" s="1">
        <v>2025</v>
      </c>
      <c r="B476" s="1" t="s">
        <v>35</v>
      </c>
      <c r="C476" s="7" t="s">
        <v>250</v>
      </c>
      <c r="D476" s="36" t="s">
        <v>253</v>
      </c>
      <c r="E476" s="35">
        <v>0</v>
      </c>
      <c r="F476" s="30"/>
      <c r="G476" s="15"/>
      <c r="H476" s="1"/>
      <c r="I476" s="1"/>
    </row>
    <row r="477" ht="12.75">
      <c r="A477" s="1">
        <v>2025</v>
      </c>
      <c r="B477" s="1" t="s">
        <v>35</v>
      </c>
      <c r="C477" s="7" t="s">
        <v>250</v>
      </c>
      <c r="D477" s="12" t="s">
        <v>254</v>
      </c>
      <c r="E477" s="37">
        <v>0</v>
      </c>
      <c r="F477" s="30"/>
      <c r="G477" s="15"/>
      <c r="H477" s="1"/>
      <c r="I477" s="1"/>
    </row>
    <row r="478" ht="12.75">
      <c r="A478" s="1">
        <v>2025</v>
      </c>
      <c r="B478" s="1" t="s">
        <v>35</v>
      </c>
      <c r="C478" s="7" t="s">
        <v>250</v>
      </c>
      <c r="D478" s="12" t="s">
        <v>255</v>
      </c>
      <c r="E478" s="37">
        <v>-400</v>
      </c>
      <c r="F478" s="30"/>
      <c r="G478" s="15"/>
      <c r="H478" s="1"/>
      <c r="I478" s="1"/>
    </row>
    <row r="479" ht="12.75">
      <c r="A479" s="1">
        <v>2025</v>
      </c>
      <c r="B479" s="1" t="s">
        <v>35</v>
      </c>
      <c r="C479" s="7" t="s">
        <v>250</v>
      </c>
      <c r="D479" s="12" t="s">
        <v>291</v>
      </c>
      <c r="E479" s="37">
        <v>-1300</v>
      </c>
      <c r="F479" s="30"/>
      <c r="G479" s="15"/>
      <c r="H479" s="1"/>
      <c r="I479" s="1"/>
    </row>
    <row r="480" ht="12.75">
      <c r="A480" s="1">
        <v>2025</v>
      </c>
      <c r="B480" s="1" t="s">
        <v>35</v>
      </c>
      <c r="C480" s="7" t="s">
        <v>250</v>
      </c>
      <c r="D480" s="18" t="s">
        <v>257</v>
      </c>
      <c r="E480" s="37">
        <v>-1000</v>
      </c>
      <c r="F480" s="30"/>
      <c r="G480" s="15"/>
      <c r="H480" s="1"/>
      <c r="I480" s="1"/>
    </row>
    <row r="481" ht="12.75">
      <c r="A481" s="1">
        <v>2025</v>
      </c>
      <c r="B481" s="1" t="s">
        <v>35</v>
      </c>
      <c r="C481" s="7" t="s">
        <v>250</v>
      </c>
      <c r="D481" s="38" t="s">
        <v>292</v>
      </c>
      <c r="E481" s="37">
        <v>-1000</v>
      </c>
      <c r="F481" s="30"/>
      <c r="G481" s="15"/>
      <c r="H481" s="1"/>
      <c r="I481" s="1"/>
    </row>
    <row r="482" ht="12.75">
      <c r="A482" s="1">
        <v>2025</v>
      </c>
      <c r="B482" s="1" t="s">
        <v>35</v>
      </c>
      <c r="C482" s="7" t="s">
        <v>293</v>
      </c>
      <c r="D482" s="12" t="s">
        <v>119</v>
      </c>
      <c r="E482" s="29">
        <v>-10000</v>
      </c>
      <c r="F482" s="30"/>
      <c r="G482" s="15"/>
      <c r="H482" s="1"/>
      <c r="I482" s="1"/>
    </row>
    <row r="483" ht="12.75">
      <c r="A483" s="1">
        <v>2025</v>
      </c>
      <c r="B483" s="1" t="s">
        <v>35</v>
      </c>
      <c r="C483" s="7" t="s">
        <v>293</v>
      </c>
      <c r="D483" s="12" t="s">
        <v>120</v>
      </c>
      <c r="E483" s="29">
        <v>-14400</v>
      </c>
      <c r="F483" s="30"/>
      <c r="G483" s="15"/>
      <c r="H483" s="1"/>
      <c r="I483" s="1"/>
    </row>
    <row r="484" ht="12.75">
      <c r="A484" s="1">
        <v>2025</v>
      </c>
      <c r="B484" s="1" t="s">
        <v>35</v>
      </c>
      <c r="C484" s="7" t="s">
        <v>293</v>
      </c>
      <c r="D484" s="12" t="s">
        <v>294</v>
      </c>
      <c r="E484" s="39">
        <v>-2000</v>
      </c>
      <c r="F484" s="30"/>
      <c r="G484" s="15"/>
      <c r="H484" s="1"/>
      <c r="I484" s="1"/>
    </row>
    <row r="485" ht="12.75">
      <c r="A485" s="1">
        <v>2025</v>
      </c>
      <c r="B485" s="1" t="s">
        <v>35</v>
      </c>
      <c r="C485" s="7" t="s">
        <v>293</v>
      </c>
      <c r="D485" s="12" t="s">
        <v>121</v>
      </c>
      <c r="E485" s="29">
        <v>-42800</v>
      </c>
      <c r="F485" s="30"/>
      <c r="G485" s="15"/>
      <c r="H485" s="1"/>
      <c r="I485" s="1"/>
    </row>
    <row r="486" ht="12.75">
      <c r="A486" s="1">
        <v>2025</v>
      </c>
      <c r="B486" s="1" t="s">
        <v>35</v>
      </c>
      <c r="C486" s="7" t="s">
        <v>293</v>
      </c>
      <c r="D486" s="12" t="s">
        <v>122</v>
      </c>
      <c r="E486" s="29">
        <v>-20000</v>
      </c>
      <c r="F486" s="30"/>
      <c r="G486" s="15"/>
      <c r="H486" s="1"/>
      <c r="I486" s="1"/>
    </row>
    <row r="487" ht="12.75">
      <c r="A487" s="1">
        <v>2025</v>
      </c>
      <c r="B487" s="1" t="s">
        <v>35</v>
      </c>
      <c r="C487" s="7" t="s">
        <v>293</v>
      </c>
      <c r="D487" s="12" t="s">
        <v>123</v>
      </c>
      <c r="E487" s="29">
        <v>-1600</v>
      </c>
      <c r="F487" s="30"/>
      <c r="G487" s="15"/>
      <c r="H487" s="1"/>
      <c r="I487" s="1"/>
    </row>
    <row r="488" ht="12.75">
      <c r="A488" s="1">
        <v>2025</v>
      </c>
      <c r="B488" s="1" t="s">
        <v>35</v>
      </c>
      <c r="C488" s="7" t="s">
        <v>293</v>
      </c>
      <c r="D488" s="12" t="s">
        <v>124</v>
      </c>
      <c r="E488" s="32">
        <v>0</v>
      </c>
      <c r="F488" s="30"/>
      <c r="G488" s="15"/>
      <c r="H488" s="1"/>
      <c r="I488" s="1"/>
    </row>
    <row r="489" ht="12.75">
      <c r="A489" s="1">
        <v>2025</v>
      </c>
      <c r="B489" s="1" t="s">
        <v>35</v>
      </c>
      <c r="C489" s="7" t="s">
        <v>293</v>
      </c>
      <c r="D489" s="12" t="s">
        <v>125</v>
      </c>
      <c r="E489" s="29">
        <v>-7200</v>
      </c>
      <c r="F489" s="30"/>
      <c r="G489" s="15"/>
      <c r="H489" s="1"/>
      <c r="I489" s="1"/>
    </row>
    <row r="490" ht="12.75">
      <c r="A490" s="1">
        <v>2025</v>
      </c>
      <c r="B490" s="1" t="s">
        <v>35</v>
      </c>
      <c r="C490" s="7" t="s">
        <v>293</v>
      </c>
      <c r="D490" s="12" t="s">
        <v>126</v>
      </c>
      <c r="E490" s="29">
        <v>-7200</v>
      </c>
      <c r="F490" s="30"/>
      <c r="G490" s="15"/>
      <c r="H490" s="1"/>
      <c r="I490" s="1"/>
    </row>
    <row r="491" ht="12.75">
      <c r="A491" s="1">
        <v>2025</v>
      </c>
      <c r="B491" s="1" t="s">
        <v>35</v>
      </c>
      <c r="C491" s="7" t="s">
        <v>293</v>
      </c>
      <c r="D491" s="12" t="s">
        <v>127</v>
      </c>
      <c r="E491" s="29">
        <v>-10000</v>
      </c>
      <c r="F491" s="30"/>
      <c r="G491" s="15"/>
      <c r="H491" s="1"/>
      <c r="I491" s="1"/>
    </row>
    <row r="492" ht="12.75">
      <c r="A492" s="1">
        <v>2025</v>
      </c>
      <c r="B492" s="1" t="s">
        <v>35</v>
      </c>
      <c r="C492" s="7" t="s">
        <v>293</v>
      </c>
      <c r="D492" s="18" t="s">
        <v>129</v>
      </c>
      <c r="E492" s="40">
        <v>-36900</v>
      </c>
      <c r="F492" s="30"/>
      <c r="G492" s="15"/>
      <c r="H492" s="1"/>
      <c r="I492" s="1"/>
    </row>
    <row r="493" ht="12.75">
      <c r="A493" s="1">
        <v>2025</v>
      </c>
      <c r="B493" s="1" t="s">
        <v>35</v>
      </c>
      <c r="C493" s="7" t="s">
        <v>258</v>
      </c>
      <c r="D493" s="12" t="s">
        <v>233</v>
      </c>
      <c r="E493" s="29">
        <v>-1591</v>
      </c>
      <c r="F493" s="30"/>
      <c r="G493" s="15"/>
      <c r="H493" s="1"/>
      <c r="I493" s="1"/>
    </row>
    <row r="494" ht="12.75">
      <c r="A494" s="1">
        <v>2025</v>
      </c>
      <c r="B494" s="1" t="s">
        <v>35</v>
      </c>
      <c r="C494" s="7" t="s">
        <v>258</v>
      </c>
      <c r="D494" s="12" t="s">
        <v>234</v>
      </c>
      <c r="E494" s="29">
        <v>-20800</v>
      </c>
      <c r="F494" s="30"/>
      <c r="G494" s="15"/>
      <c r="H494" s="1"/>
      <c r="I494" s="1"/>
    </row>
    <row r="495" ht="12.75">
      <c r="A495" s="1">
        <v>2025</v>
      </c>
      <c r="B495" s="1" t="s">
        <v>35</v>
      </c>
      <c r="C495" s="7" t="s">
        <v>258</v>
      </c>
      <c r="D495" s="12" t="s">
        <v>261</v>
      </c>
      <c r="E495" s="33">
        <v>0</v>
      </c>
      <c r="F495" s="30"/>
      <c r="G495" s="15"/>
      <c r="H495" s="1"/>
      <c r="I495" s="1"/>
    </row>
    <row r="496" ht="12.75">
      <c r="A496" s="1">
        <v>2025</v>
      </c>
      <c r="B496" s="1" t="s">
        <v>35</v>
      </c>
      <c r="C496" s="7" t="s">
        <v>258</v>
      </c>
      <c r="D496" s="12" t="s">
        <v>262</v>
      </c>
      <c r="E496" s="29">
        <v>0</v>
      </c>
      <c r="F496" s="30"/>
      <c r="G496" s="15"/>
      <c r="H496" s="1"/>
      <c r="I496" s="1"/>
    </row>
    <row r="497" ht="12.75">
      <c r="A497" s="1">
        <v>2025</v>
      </c>
      <c r="B497" s="1" t="s">
        <v>35</v>
      </c>
      <c r="C497" s="7" t="s">
        <v>258</v>
      </c>
      <c r="D497" s="12" t="s">
        <v>236</v>
      </c>
      <c r="E497" s="33">
        <v>-1000</v>
      </c>
      <c r="F497" s="30"/>
      <c r="G497" s="15"/>
      <c r="H497" s="1"/>
      <c r="I497" s="1"/>
    </row>
    <row r="498" ht="12.75">
      <c r="A498" s="1">
        <v>2025</v>
      </c>
      <c r="B498" s="1" t="s">
        <v>35</v>
      </c>
      <c r="C498" s="7" t="s">
        <v>258</v>
      </c>
      <c r="D498" s="12" t="s">
        <v>218</v>
      </c>
      <c r="E498" s="33">
        <v>-200</v>
      </c>
      <c r="F498" s="30"/>
      <c r="G498" s="15"/>
      <c r="H498" s="1"/>
      <c r="I498" s="1"/>
    </row>
    <row r="499" ht="12.75">
      <c r="A499" s="1">
        <v>2025</v>
      </c>
      <c r="B499" s="1" t="s">
        <v>35</v>
      </c>
      <c r="C499" s="7" t="s">
        <v>258</v>
      </c>
      <c r="D499" s="12" t="s">
        <v>219</v>
      </c>
      <c r="E499" s="33">
        <v>-250</v>
      </c>
      <c r="F499" s="30"/>
      <c r="G499" s="15"/>
      <c r="H499" s="1"/>
      <c r="I499" s="1"/>
    </row>
    <row r="500" ht="12.75">
      <c r="A500" s="1">
        <v>2025</v>
      </c>
      <c r="B500" s="1" t="s">
        <v>35</v>
      </c>
      <c r="C500" s="7" t="s">
        <v>258</v>
      </c>
      <c r="D500" s="12" t="s">
        <v>221</v>
      </c>
      <c r="E500" s="33">
        <v>-1500</v>
      </c>
      <c r="F500" s="30"/>
      <c r="G500" s="15"/>
      <c r="H500" s="1"/>
      <c r="I500" s="1"/>
    </row>
    <row r="501" ht="12.75">
      <c r="A501" s="1">
        <v>2025</v>
      </c>
      <c r="B501" s="1" t="s">
        <v>35</v>
      </c>
      <c r="C501" s="7" t="s">
        <v>258</v>
      </c>
      <c r="D501" s="12" t="s">
        <v>259</v>
      </c>
      <c r="E501" s="34">
        <v>-3000</v>
      </c>
      <c r="F501" s="30"/>
      <c r="G501" s="15"/>
      <c r="H501" s="1"/>
      <c r="I501" s="1"/>
    </row>
    <row r="502" ht="12.75">
      <c r="A502" s="1">
        <v>2025</v>
      </c>
      <c r="B502" s="1" t="s">
        <v>35</v>
      </c>
      <c r="C502" s="7" t="s">
        <v>258</v>
      </c>
      <c r="D502" s="12" t="s">
        <v>223</v>
      </c>
      <c r="E502" s="33">
        <v>-1400</v>
      </c>
      <c r="F502" s="30"/>
      <c r="G502" s="15"/>
      <c r="H502" s="1"/>
      <c r="I502" s="1"/>
    </row>
    <row r="503" ht="12.75">
      <c r="A503" s="1">
        <v>2025</v>
      </c>
      <c r="B503" s="1" t="s">
        <v>35</v>
      </c>
      <c r="C503" s="7" t="s">
        <v>258</v>
      </c>
      <c r="D503" s="12" t="s">
        <v>224</v>
      </c>
      <c r="E503" s="33">
        <v>-200</v>
      </c>
      <c r="F503" s="30"/>
      <c r="G503" s="15"/>
      <c r="H503" s="1"/>
      <c r="I503" s="1"/>
    </row>
    <row r="504" ht="12.75">
      <c r="A504" s="1">
        <v>2025</v>
      </c>
      <c r="B504" s="1" t="s">
        <v>35</v>
      </c>
      <c r="C504" s="7" t="s">
        <v>258</v>
      </c>
      <c r="D504" s="12" t="s">
        <v>225</v>
      </c>
      <c r="E504" s="33">
        <v>-300</v>
      </c>
      <c r="F504" s="30"/>
      <c r="G504" s="15"/>
      <c r="H504" s="1"/>
      <c r="I504" s="1"/>
    </row>
    <row r="505" ht="12.75">
      <c r="A505" s="1">
        <v>2025</v>
      </c>
      <c r="B505" s="1" t="s">
        <v>35</v>
      </c>
      <c r="C505" s="7" t="s">
        <v>258</v>
      </c>
      <c r="D505" s="12" t="s">
        <v>260</v>
      </c>
      <c r="E505" s="33">
        <v>-20000</v>
      </c>
      <c r="F505" s="30"/>
      <c r="G505" s="15"/>
      <c r="H505" s="1"/>
      <c r="I505" s="1"/>
    </row>
    <row r="506" ht="12.75">
      <c r="A506" s="1">
        <v>2025</v>
      </c>
      <c r="B506" s="1" t="s">
        <v>35</v>
      </c>
      <c r="C506" s="7" t="s">
        <v>258</v>
      </c>
      <c r="D506" s="12" t="s">
        <v>227</v>
      </c>
      <c r="E506" s="33">
        <v>-150</v>
      </c>
      <c r="F506" s="30"/>
      <c r="G506" s="15"/>
      <c r="H506" s="1"/>
      <c r="I506" s="1"/>
    </row>
    <row r="507" ht="12.75">
      <c r="A507" s="1">
        <v>2025</v>
      </c>
      <c r="B507" s="1" t="s">
        <v>35</v>
      </c>
      <c r="C507" s="7" t="s">
        <v>258</v>
      </c>
      <c r="D507" s="12" t="s">
        <v>228</v>
      </c>
      <c r="E507" s="33">
        <v>-200</v>
      </c>
      <c r="F507" s="30"/>
      <c r="G507" s="15"/>
      <c r="H507" s="1"/>
      <c r="I507" s="1"/>
    </row>
    <row r="508" ht="12.75">
      <c r="A508" s="1">
        <v>2025</v>
      </c>
      <c r="B508" s="1" t="s">
        <v>35</v>
      </c>
      <c r="C508" s="7" t="s">
        <v>258</v>
      </c>
      <c r="D508" s="12" t="s">
        <v>229</v>
      </c>
      <c r="E508" s="33">
        <v>-200</v>
      </c>
      <c r="F508" s="30"/>
      <c r="G508" s="15"/>
      <c r="H508" s="1"/>
      <c r="I508" s="1"/>
    </row>
    <row r="509" ht="12.75">
      <c r="A509" s="1">
        <v>2025</v>
      </c>
      <c r="B509" s="1" t="s">
        <v>35</v>
      </c>
      <c r="C509" s="7" t="s">
        <v>258</v>
      </c>
      <c r="D509" s="12" t="s">
        <v>230</v>
      </c>
      <c r="E509" s="33">
        <v>-200</v>
      </c>
      <c r="F509" s="30"/>
      <c r="G509" s="15"/>
      <c r="H509" s="1"/>
      <c r="I509" s="1"/>
    </row>
    <row r="510" ht="12.75">
      <c r="A510" s="1">
        <v>2025</v>
      </c>
      <c r="B510" s="1" t="s">
        <v>35</v>
      </c>
      <c r="C510" s="7" t="s">
        <v>258</v>
      </c>
      <c r="D510" s="12" t="s">
        <v>231</v>
      </c>
      <c r="E510" s="33">
        <v>-1000</v>
      </c>
      <c r="F510" s="30"/>
      <c r="G510" s="15"/>
      <c r="H510" s="1"/>
      <c r="I510" s="1"/>
    </row>
    <row r="511" ht="12.75">
      <c r="A511" s="1">
        <v>2025</v>
      </c>
      <c r="B511" s="1" t="s">
        <v>35</v>
      </c>
      <c r="C511" s="7" t="s">
        <v>295</v>
      </c>
      <c r="D511" s="17" t="s">
        <v>95</v>
      </c>
      <c r="E511" s="32">
        <v>-13337</v>
      </c>
      <c r="F511" s="30"/>
      <c r="G511" s="15"/>
      <c r="H511" s="1"/>
      <c r="I511" s="1"/>
    </row>
    <row r="512" ht="12.75">
      <c r="A512" s="1">
        <v>2025</v>
      </c>
      <c r="B512" s="1" t="s">
        <v>35</v>
      </c>
      <c r="C512" s="7" t="s">
        <v>295</v>
      </c>
      <c r="D512" s="12" t="s">
        <v>97</v>
      </c>
      <c r="E512" s="29">
        <v>-200</v>
      </c>
      <c r="F512" s="30"/>
      <c r="G512" s="15"/>
      <c r="H512" s="1"/>
      <c r="I512" s="1"/>
    </row>
    <row r="513" ht="12.75">
      <c r="A513" s="1">
        <v>2025</v>
      </c>
      <c r="B513" s="1" t="s">
        <v>35</v>
      </c>
      <c r="C513" s="7" t="s">
        <v>295</v>
      </c>
      <c r="D513" s="18" t="s">
        <v>136</v>
      </c>
      <c r="E513" s="29">
        <v>-10500</v>
      </c>
      <c r="F513" s="30"/>
      <c r="G513" s="15"/>
      <c r="H513" s="1"/>
      <c r="I513" s="1"/>
    </row>
    <row r="514" ht="12.75">
      <c r="A514" s="1">
        <v>2025</v>
      </c>
      <c r="B514" s="1" t="s">
        <v>35</v>
      </c>
      <c r="C514" s="7" t="s">
        <v>295</v>
      </c>
      <c r="D514" s="12" t="s">
        <v>137</v>
      </c>
      <c r="E514" s="29">
        <v>-200</v>
      </c>
      <c r="F514" s="30"/>
      <c r="G514" s="15"/>
      <c r="H514" s="1"/>
      <c r="I514" s="1"/>
    </row>
    <row r="515" ht="12.75">
      <c r="A515" s="1">
        <v>2025</v>
      </c>
      <c r="B515" s="1" t="s">
        <v>35</v>
      </c>
      <c r="C515" s="7" t="s">
        <v>295</v>
      </c>
      <c r="D515" s="12" t="s">
        <v>267</v>
      </c>
      <c r="E515" s="29">
        <v>-2000</v>
      </c>
      <c r="F515" s="30"/>
      <c r="G515" s="15"/>
      <c r="H515" s="1"/>
      <c r="I515" s="1"/>
    </row>
    <row r="516" ht="12.75">
      <c r="A516" s="1">
        <v>2025</v>
      </c>
      <c r="B516" s="1" t="s">
        <v>35</v>
      </c>
      <c r="C516" s="7" t="s">
        <v>295</v>
      </c>
      <c r="D516" s="17" t="s">
        <v>268</v>
      </c>
      <c r="E516" s="29">
        <v>-1000</v>
      </c>
      <c r="F516" s="30"/>
      <c r="G516" s="15"/>
      <c r="H516" s="1"/>
      <c r="I516" s="1"/>
    </row>
    <row r="517" ht="12.75">
      <c r="A517" s="1">
        <v>2025</v>
      </c>
      <c r="B517" s="1" t="s">
        <v>35</v>
      </c>
      <c r="C517" s="7" t="s">
        <v>295</v>
      </c>
      <c r="D517" s="12" t="s">
        <v>141</v>
      </c>
      <c r="E517" s="33">
        <v>-6000</v>
      </c>
      <c r="F517" s="30"/>
      <c r="G517" s="15"/>
      <c r="H517" s="1"/>
      <c r="I517" s="1"/>
    </row>
    <row r="518" ht="12.75">
      <c r="A518" s="1">
        <v>2025</v>
      </c>
      <c r="B518" s="1" t="s">
        <v>35</v>
      </c>
      <c r="C518" s="7" t="s">
        <v>295</v>
      </c>
      <c r="D518" s="12" t="s">
        <v>142</v>
      </c>
      <c r="E518" s="33">
        <v>0</v>
      </c>
      <c r="F518" s="30"/>
      <c r="G518" s="15"/>
      <c r="H518" s="1"/>
      <c r="I518" s="1"/>
    </row>
    <row r="519" ht="12.75">
      <c r="A519" s="1">
        <v>2025</v>
      </c>
      <c r="B519" s="1" t="s">
        <v>35</v>
      </c>
      <c r="C519" s="7" t="s">
        <v>295</v>
      </c>
      <c r="D519" s="12" t="s">
        <v>269</v>
      </c>
      <c r="E519" s="29">
        <v>0</v>
      </c>
      <c r="F519" s="30"/>
      <c r="G519" s="15"/>
      <c r="H519" s="1"/>
      <c r="I519" s="1"/>
    </row>
    <row r="520" ht="12.75">
      <c r="A520" s="1">
        <v>2025</v>
      </c>
      <c r="B520" s="1" t="s">
        <v>35</v>
      </c>
      <c r="C520" s="7" t="s">
        <v>295</v>
      </c>
      <c r="D520" s="41" t="s">
        <v>296</v>
      </c>
      <c r="E520" s="42">
        <v>0</v>
      </c>
      <c r="F520" s="30"/>
      <c r="G520" s="15"/>
      <c r="H520" s="1"/>
      <c r="I520" s="1"/>
    </row>
    <row r="521" ht="12.75">
      <c r="A521" s="1">
        <v>2025</v>
      </c>
      <c r="B521" s="1" t="s">
        <v>35</v>
      </c>
      <c r="C521" s="7" t="s">
        <v>297</v>
      </c>
      <c r="D521" s="23" t="s">
        <v>114</v>
      </c>
      <c r="E521" s="33">
        <v>0</v>
      </c>
      <c r="F521" s="30"/>
      <c r="G521" s="15"/>
      <c r="H521" s="1"/>
      <c r="I521" s="1"/>
    </row>
    <row r="522" ht="12.75">
      <c r="A522" s="1">
        <v>2025</v>
      </c>
      <c r="B522" s="1" t="s">
        <v>35</v>
      </c>
      <c r="C522" s="7" t="s">
        <v>297</v>
      </c>
      <c r="D522" s="12" t="s">
        <v>115</v>
      </c>
      <c r="E522" s="33">
        <v>-500</v>
      </c>
      <c r="F522" s="30"/>
      <c r="G522" s="15"/>
      <c r="H522" s="1"/>
      <c r="I522" s="1"/>
    </row>
    <row r="523" ht="12.75">
      <c r="A523" s="1">
        <v>2025</v>
      </c>
      <c r="B523" s="1" t="s">
        <v>35</v>
      </c>
      <c r="C523" s="7" t="s">
        <v>297</v>
      </c>
      <c r="D523" s="43" t="s">
        <v>271</v>
      </c>
      <c r="E523" s="44">
        <v>-5000</v>
      </c>
      <c r="F523" s="30"/>
      <c r="G523" s="15"/>
      <c r="H523" s="1"/>
      <c r="I523" s="1"/>
    </row>
    <row r="524" ht="12.75">
      <c r="A524" s="1">
        <v>2025</v>
      </c>
      <c r="B524" s="1" t="s">
        <v>35</v>
      </c>
      <c r="C524" s="7" t="s">
        <v>297</v>
      </c>
      <c r="D524" s="12" t="s">
        <v>57</v>
      </c>
      <c r="E524" s="33">
        <v>-200</v>
      </c>
      <c r="F524" s="30"/>
      <c r="G524" s="15"/>
      <c r="H524" s="1"/>
      <c r="I524" s="1"/>
    </row>
    <row r="525" ht="12.75">
      <c r="A525" s="1">
        <v>2025</v>
      </c>
      <c r="B525" s="1" t="s">
        <v>35</v>
      </c>
      <c r="C525" s="7" t="s">
        <v>297</v>
      </c>
      <c r="D525" s="12" t="s">
        <v>58</v>
      </c>
      <c r="E525" s="33">
        <v>-150</v>
      </c>
      <c r="F525" s="30"/>
      <c r="G525" s="15"/>
      <c r="H525" s="1"/>
      <c r="I525" s="1"/>
    </row>
    <row r="526" ht="12.75">
      <c r="A526" s="1">
        <v>2025</v>
      </c>
      <c r="B526" s="1" t="s">
        <v>35</v>
      </c>
      <c r="C526" s="7" t="s">
        <v>297</v>
      </c>
      <c r="D526" s="12" t="s">
        <v>59</v>
      </c>
      <c r="E526" s="33">
        <v>-450</v>
      </c>
      <c r="F526" s="30"/>
      <c r="G526" s="15"/>
      <c r="H526" s="1"/>
      <c r="I526" s="1"/>
    </row>
    <row r="527" ht="12.75">
      <c r="A527" s="1">
        <v>2025</v>
      </c>
      <c r="B527" s="1" t="s">
        <v>35</v>
      </c>
      <c r="C527" s="7" t="s">
        <v>297</v>
      </c>
      <c r="D527" s="12" t="s">
        <v>116</v>
      </c>
      <c r="E527" s="33">
        <v>-200</v>
      </c>
      <c r="F527" s="30"/>
      <c r="G527" s="15"/>
      <c r="H527" s="1"/>
      <c r="I527" s="1"/>
    </row>
    <row r="528" ht="12.75">
      <c r="A528" s="1">
        <v>2025</v>
      </c>
      <c r="B528" s="1" t="s">
        <v>35</v>
      </c>
      <c r="C528" s="7" t="s">
        <v>297</v>
      </c>
      <c r="D528" s="12" t="s">
        <v>60</v>
      </c>
      <c r="E528" s="33">
        <v>-150</v>
      </c>
      <c r="F528" s="30"/>
      <c r="G528" s="15"/>
      <c r="H528" s="1"/>
      <c r="I528" s="1"/>
    </row>
    <row r="529" ht="12.75">
      <c r="A529" s="1">
        <v>2025</v>
      </c>
      <c r="B529" s="1" t="s">
        <v>35</v>
      </c>
      <c r="C529" s="7" t="s">
        <v>297</v>
      </c>
      <c r="D529" s="12" t="s">
        <v>61</v>
      </c>
      <c r="E529" s="33">
        <v>-800</v>
      </c>
      <c r="F529" s="30"/>
      <c r="G529" s="15"/>
      <c r="H529" s="1"/>
      <c r="I529" s="1"/>
    </row>
    <row r="530" ht="12.75">
      <c r="A530" s="1">
        <v>2025</v>
      </c>
      <c r="B530" s="1" t="s">
        <v>35</v>
      </c>
      <c r="C530" s="7" t="s">
        <v>297</v>
      </c>
      <c r="D530" s="12" t="s">
        <v>62</v>
      </c>
      <c r="E530" s="33">
        <v>-150</v>
      </c>
      <c r="F530" s="30"/>
      <c r="G530" s="15"/>
      <c r="H530" s="1"/>
      <c r="I530" s="1"/>
    </row>
    <row r="531" ht="12.75">
      <c r="A531" s="1">
        <v>2025</v>
      </c>
      <c r="B531" s="1" t="s">
        <v>35</v>
      </c>
      <c r="C531" s="7" t="s">
        <v>297</v>
      </c>
      <c r="D531" s="12" t="s">
        <v>117</v>
      </c>
      <c r="E531" s="33">
        <v>-200</v>
      </c>
      <c r="F531" s="30"/>
      <c r="G531" s="15"/>
      <c r="H531" s="1"/>
      <c r="I531" s="1"/>
    </row>
    <row r="532" ht="12.75">
      <c r="A532" s="1">
        <v>2025</v>
      </c>
      <c r="B532" s="1" t="s">
        <v>35</v>
      </c>
      <c r="C532" s="7" t="s">
        <v>298</v>
      </c>
      <c r="D532" s="12" t="s">
        <v>74</v>
      </c>
      <c r="E532" s="31">
        <v>0</v>
      </c>
      <c r="F532" s="30"/>
      <c r="G532" s="15"/>
      <c r="H532" s="1"/>
      <c r="I532" s="1"/>
    </row>
    <row r="533" ht="12.75">
      <c r="A533" s="1">
        <v>2025</v>
      </c>
      <c r="B533" s="1" t="s">
        <v>35</v>
      </c>
      <c r="C533" s="7" t="s">
        <v>298</v>
      </c>
      <c r="D533" s="12" t="s">
        <v>75</v>
      </c>
      <c r="E533" s="31">
        <v>0</v>
      </c>
      <c r="F533" s="30"/>
      <c r="G533" s="15"/>
      <c r="H533" s="1"/>
      <c r="I533" s="1"/>
    </row>
    <row r="534" ht="12.75">
      <c r="A534" s="1">
        <v>2025</v>
      </c>
      <c r="B534" s="1" t="s">
        <v>35</v>
      </c>
      <c r="C534" s="7" t="s">
        <v>298</v>
      </c>
      <c r="D534" s="12" t="s">
        <v>76</v>
      </c>
      <c r="E534" s="31">
        <v>0</v>
      </c>
      <c r="F534" s="30"/>
      <c r="G534" s="15"/>
      <c r="H534" s="1"/>
      <c r="I534" s="1"/>
    </row>
    <row r="535" ht="12.75">
      <c r="A535" s="1">
        <v>2025</v>
      </c>
      <c r="B535" s="1" t="s">
        <v>35</v>
      </c>
      <c r="C535" s="7" t="s">
        <v>298</v>
      </c>
      <c r="D535" s="12" t="s">
        <v>77</v>
      </c>
      <c r="E535" s="31">
        <v>0</v>
      </c>
      <c r="F535" s="30"/>
      <c r="G535" s="15"/>
      <c r="H535" s="1"/>
      <c r="I535" s="1"/>
    </row>
    <row r="536" ht="12.75">
      <c r="A536" s="1">
        <v>2025</v>
      </c>
      <c r="B536" s="1" t="s">
        <v>35</v>
      </c>
      <c r="C536" s="7" t="s">
        <v>298</v>
      </c>
      <c r="D536" s="12" t="s">
        <v>78</v>
      </c>
      <c r="E536" s="31">
        <v>0</v>
      </c>
      <c r="F536" s="30"/>
      <c r="G536" s="15"/>
      <c r="H536" s="1"/>
      <c r="I536" s="1"/>
    </row>
    <row r="537" ht="12.75">
      <c r="A537" s="1">
        <v>2025</v>
      </c>
      <c r="B537" s="1" t="s">
        <v>35</v>
      </c>
      <c r="C537" s="7" t="s">
        <v>298</v>
      </c>
      <c r="D537" s="12" t="s">
        <v>79</v>
      </c>
      <c r="E537" s="31">
        <v>0</v>
      </c>
      <c r="F537" s="30"/>
      <c r="G537" s="15"/>
      <c r="H537" s="1"/>
      <c r="I537" s="1"/>
    </row>
    <row r="538" ht="12.75">
      <c r="A538" s="1">
        <v>2025</v>
      </c>
      <c r="B538" s="1" t="s">
        <v>35</v>
      </c>
      <c r="C538" s="7" t="s">
        <v>298</v>
      </c>
      <c r="D538" s="12" t="s">
        <v>80</v>
      </c>
      <c r="E538" s="31">
        <v>0</v>
      </c>
      <c r="F538" s="30"/>
      <c r="G538" s="15"/>
      <c r="H538" s="1"/>
      <c r="I538" s="1"/>
    </row>
    <row r="539" ht="12.75">
      <c r="A539" s="1">
        <v>2025</v>
      </c>
      <c r="B539" s="1" t="s">
        <v>35</v>
      </c>
      <c r="C539" s="7" t="s">
        <v>298</v>
      </c>
      <c r="D539" s="12" t="s">
        <v>81</v>
      </c>
      <c r="E539" s="31">
        <v>0</v>
      </c>
      <c r="F539" s="30"/>
      <c r="G539" s="15"/>
      <c r="H539" s="1"/>
      <c r="I539" s="1"/>
    </row>
    <row r="540" ht="12.75">
      <c r="A540" s="1">
        <v>2025</v>
      </c>
      <c r="B540" s="1" t="s">
        <v>35</v>
      </c>
      <c r="C540" s="7" t="s">
        <v>298</v>
      </c>
      <c r="D540" s="12" t="s">
        <v>68</v>
      </c>
      <c r="E540" s="33">
        <v>-300</v>
      </c>
      <c r="F540" s="30"/>
      <c r="G540" s="15"/>
      <c r="H540" s="1"/>
      <c r="I540" s="1"/>
    </row>
    <row r="541" ht="12.75">
      <c r="A541" s="1">
        <v>2025</v>
      </c>
      <c r="B541" s="1" t="s">
        <v>35</v>
      </c>
      <c r="C541" s="7" t="s">
        <v>298</v>
      </c>
      <c r="D541" s="12" t="s">
        <v>69</v>
      </c>
      <c r="E541" s="33">
        <v>-200</v>
      </c>
      <c r="F541" s="30"/>
      <c r="G541" s="15"/>
      <c r="H541" s="1"/>
      <c r="I541" s="1"/>
    </row>
    <row r="542" ht="12.75">
      <c r="A542" s="1">
        <v>2025</v>
      </c>
      <c r="B542" s="1" t="s">
        <v>35</v>
      </c>
      <c r="C542" s="7" t="s">
        <v>298</v>
      </c>
      <c r="D542" s="12" t="s">
        <v>70</v>
      </c>
      <c r="E542" s="33">
        <v>-500</v>
      </c>
      <c r="F542" s="30"/>
      <c r="G542" s="15"/>
      <c r="H542" s="1"/>
      <c r="I542" s="1"/>
    </row>
    <row r="543" ht="12.75">
      <c r="A543" s="1">
        <v>2025</v>
      </c>
      <c r="B543" s="1" t="s">
        <v>35</v>
      </c>
      <c r="C543" s="7" t="s">
        <v>298</v>
      </c>
      <c r="D543" s="12" t="s">
        <v>71</v>
      </c>
      <c r="E543" s="33">
        <v>-100</v>
      </c>
      <c r="F543" s="30"/>
      <c r="G543" s="15"/>
      <c r="H543" s="1"/>
      <c r="I543" s="1"/>
    </row>
    <row r="544" ht="12.75">
      <c r="A544" s="1">
        <v>2025</v>
      </c>
      <c r="B544" s="1" t="s">
        <v>35</v>
      </c>
      <c r="C544" s="7" t="s">
        <v>298</v>
      </c>
      <c r="D544" s="12" t="s">
        <v>72</v>
      </c>
      <c r="E544" s="33">
        <v>-300</v>
      </c>
      <c r="F544" s="30"/>
      <c r="G544" s="15"/>
      <c r="H544" s="1"/>
      <c r="I544" s="1"/>
    </row>
    <row r="545" ht="12.75">
      <c r="A545" s="1">
        <v>2025</v>
      </c>
      <c r="B545" s="1" t="s">
        <v>35</v>
      </c>
      <c r="C545" s="7" t="s">
        <v>299</v>
      </c>
      <c r="D545" s="12" t="s">
        <v>131</v>
      </c>
      <c r="E545" s="33">
        <v>-1500</v>
      </c>
      <c r="F545" s="30"/>
      <c r="G545" s="15"/>
      <c r="H545" s="1"/>
      <c r="I545" s="1"/>
    </row>
    <row r="546" ht="12.75">
      <c r="A546" s="1">
        <v>2025</v>
      </c>
      <c r="B546" s="1" t="s">
        <v>35</v>
      </c>
      <c r="C546" s="7" t="s">
        <v>299</v>
      </c>
      <c r="D546" s="12" t="s">
        <v>132</v>
      </c>
      <c r="E546" s="33">
        <v>-500</v>
      </c>
      <c r="F546" s="30"/>
      <c r="G546" s="15"/>
      <c r="H546" s="1"/>
      <c r="I546" s="1"/>
    </row>
    <row r="547" ht="12.75">
      <c r="A547" s="1">
        <v>2025</v>
      </c>
      <c r="B547" s="1" t="s">
        <v>35</v>
      </c>
      <c r="C547" s="7" t="s">
        <v>299</v>
      </c>
      <c r="D547" s="12" t="s">
        <v>133</v>
      </c>
      <c r="E547" s="33">
        <v>-300</v>
      </c>
      <c r="F547" s="30"/>
      <c r="G547" s="15"/>
      <c r="H547" s="1"/>
      <c r="I547" s="1"/>
    </row>
    <row r="548" ht="12.75">
      <c r="A548" s="1">
        <v>2025</v>
      </c>
      <c r="B548" s="1" t="s">
        <v>35</v>
      </c>
      <c r="C548" s="7" t="s">
        <v>299</v>
      </c>
      <c r="D548" s="12" t="s">
        <v>134</v>
      </c>
      <c r="E548" s="33">
        <v>-300</v>
      </c>
      <c r="F548" s="30"/>
      <c r="G548" s="15"/>
      <c r="H548" s="1"/>
      <c r="I548" s="1"/>
    </row>
    <row r="549" ht="12.75">
      <c r="A549" s="1">
        <v>2025</v>
      </c>
      <c r="B549" s="1" t="s">
        <v>35</v>
      </c>
      <c r="C549" s="7" t="s">
        <v>300</v>
      </c>
      <c r="D549" s="12" t="s">
        <v>99</v>
      </c>
      <c r="E549" s="33">
        <v>-500</v>
      </c>
      <c r="F549" s="30"/>
      <c r="G549" s="15"/>
      <c r="H549" s="1"/>
      <c r="I549" s="1"/>
    </row>
    <row r="550" ht="12.75">
      <c r="A550" s="1">
        <v>2025</v>
      </c>
      <c r="B550" s="1" t="s">
        <v>35</v>
      </c>
      <c r="C550" s="7" t="s">
        <v>300</v>
      </c>
      <c r="D550" s="12" t="s">
        <v>100</v>
      </c>
      <c r="E550" s="33">
        <v>-1000</v>
      </c>
      <c r="F550" s="30"/>
      <c r="G550" s="15"/>
      <c r="H550" s="1"/>
      <c r="I550" s="1"/>
    </row>
    <row r="551" ht="12.75">
      <c r="A551" s="1">
        <v>2025</v>
      </c>
      <c r="B551" s="1" t="s">
        <v>35</v>
      </c>
      <c r="C551" s="7" t="s">
        <v>300</v>
      </c>
      <c r="D551" s="12" t="s">
        <v>101</v>
      </c>
      <c r="E551" s="29">
        <v>0</v>
      </c>
      <c r="F551" s="30"/>
      <c r="G551" s="15"/>
      <c r="H551" s="1"/>
      <c r="I551" s="1"/>
    </row>
    <row r="552" ht="12.75">
      <c r="A552" s="1">
        <v>2025</v>
      </c>
      <c r="B552" s="1" t="s">
        <v>35</v>
      </c>
      <c r="C552" s="7" t="s">
        <v>300</v>
      </c>
      <c r="D552" s="12" t="s">
        <v>102</v>
      </c>
      <c r="E552" s="33">
        <v>-1000</v>
      </c>
      <c r="F552" s="30"/>
      <c r="G552" s="15"/>
      <c r="H552" s="1"/>
      <c r="I552" s="1"/>
    </row>
    <row r="553" ht="12.75">
      <c r="A553" s="1">
        <v>2025</v>
      </c>
      <c r="B553" s="1" t="s">
        <v>35</v>
      </c>
      <c r="C553" s="7" t="s">
        <v>301</v>
      </c>
      <c r="D553" s="12" t="s">
        <v>173</v>
      </c>
      <c r="E553" s="33">
        <v>-7571</v>
      </c>
      <c r="F553" s="30"/>
      <c r="G553" s="15"/>
      <c r="H553" s="1"/>
      <c r="I553" s="1"/>
    </row>
    <row r="554" ht="12.75">
      <c r="A554" s="1">
        <v>2025</v>
      </c>
      <c r="B554" s="1" t="s">
        <v>35</v>
      </c>
      <c r="C554" s="7" t="s">
        <v>301</v>
      </c>
      <c r="D554" s="12" t="s">
        <v>174</v>
      </c>
      <c r="E554" s="29">
        <v>-98959</v>
      </c>
      <c r="F554" s="30"/>
      <c r="G554" s="15"/>
      <c r="H554" s="1"/>
      <c r="I554" s="1"/>
    </row>
    <row r="555" ht="12.75">
      <c r="A555" s="1">
        <v>2025</v>
      </c>
      <c r="B555" s="1" t="s">
        <v>35</v>
      </c>
      <c r="C555" s="7" t="s">
        <v>301</v>
      </c>
      <c r="D555" s="12" t="s">
        <v>175</v>
      </c>
      <c r="E555" s="33">
        <v>-15000</v>
      </c>
      <c r="F555" s="30"/>
      <c r="G555" s="15"/>
      <c r="H555" s="1"/>
      <c r="I555" s="1"/>
    </row>
    <row r="556" ht="12.75">
      <c r="A556" s="1">
        <v>2025</v>
      </c>
      <c r="B556" s="1" t="s">
        <v>35</v>
      </c>
      <c r="C556" s="7" t="s">
        <v>301</v>
      </c>
      <c r="D556" s="12" t="s">
        <v>176</v>
      </c>
      <c r="E556" s="33">
        <v>-2699</v>
      </c>
      <c r="F556" s="30"/>
      <c r="G556" s="15"/>
      <c r="H556" s="1"/>
      <c r="I556" s="1"/>
    </row>
    <row r="557" ht="12.75">
      <c r="A557" s="1">
        <v>2025</v>
      </c>
      <c r="B557" s="1" t="s">
        <v>35</v>
      </c>
      <c r="C557" s="7" t="s">
        <v>301</v>
      </c>
      <c r="D557" s="12" t="s">
        <v>177</v>
      </c>
      <c r="E557" s="33">
        <v>-1000</v>
      </c>
      <c r="F557" s="30"/>
      <c r="G557" s="15"/>
      <c r="H557" s="1"/>
      <c r="I557" s="1"/>
    </row>
    <row r="558" ht="12.75">
      <c r="A558" s="1">
        <v>2025</v>
      </c>
      <c r="B558" s="1" t="s">
        <v>35</v>
      </c>
      <c r="C558" s="7" t="s">
        <v>301</v>
      </c>
      <c r="D558" s="12" t="s">
        <v>276</v>
      </c>
      <c r="E558" s="33">
        <v>-3000</v>
      </c>
      <c r="F558" s="30"/>
      <c r="G558" s="15"/>
      <c r="H558" s="1"/>
      <c r="I558" s="1"/>
    </row>
    <row r="559" ht="12.75">
      <c r="A559" s="1">
        <v>2025</v>
      </c>
      <c r="B559" s="1" t="s">
        <v>35</v>
      </c>
      <c r="C559" s="7" t="s">
        <v>301</v>
      </c>
      <c r="D559" s="12" t="s">
        <v>145</v>
      </c>
      <c r="E559" s="33">
        <v>-750</v>
      </c>
      <c r="F559" s="30"/>
      <c r="G559" s="15"/>
      <c r="H559" s="1"/>
      <c r="I559" s="1"/>
    </row>
    <row r="560" ht="12.75">
      <c r="A560" s="1">
        <v>2025</v>
      </c>
      <c r="B560" s="1" t="s">
        <v>35</v>
      </c>
      <c r="C560" s="7" t="s">
        <v>301</v>
      </c>
      <c r="D560" s="12" t="s">
        <v>146</v>
      </c>
      <c r="E560" s="33">
        <v>-8850</v>
      </c>
      <c r="F560" s="30"/>
      <c r="G560" s="15"/>
      <c r="H560" s="1"/>
      <c r="I560" s="1"/>
    </row>
    <row r="561" ht="12.75">
      <c r="A561" s="1">
        <v>2025</v>
      </c>
      <c r="B561" s="1" t="s">
        <v>35</v>
      </c>
      <c r="C561" s="7" t="s">
        <v>301</v>
      </c>
      <c r="D561" s="12" t="s">
        <v>147</v>
      </c>
      <c r="E561" s="33">
        <v>-9500</v>
      </c>
      <c r="F561" s="30"/>
      <c r="G561" s="15"/>
      <c r="H561" s="1"/>
      <c r="I561" s="1"/>
    </row>
    <row r="562" ht="12.75">
      <c r="A562" s="1">
        <v>2025</v>
      </c>
      <c r="B562" s="1" t="s">
        <v>35</v>
      </c>
      <c r="C562" s="7" t="s">
        <v>301</v>
      </c>
      <c r="D562" s="12" t="s">
        <v>148</v>
      </c>
      <c r="E562" s="33">
        <v>-950</v>
      </c>
      <c r="F562" s="30"/>
      <c r="G562" s="15"/>
      <c r="H562" s="1"/>
      <c r="I562" s="1"/>
    </row>
    <row r="563" ht="12.75">
      <c r="A563" s="1">
        <v>2025</v>
      </c>
      <c r="B563" s="1" t="s">
        <v>35</v>
      </c>
      <c r="C563" s="7" t="s">
        <v>301</v>
      </c>
      <c r="D563" s="12" t="s">
        <v>149</v>
      </c>
      <c r="E563" s="33">
        <v>-1500</v>
      </c>
      <c r="F563" s="30"/>
      <c r="G563" s="15"/>
      <c r="H563" s="1"/>
      <c r="I563" s="1"/>
    </row>
    <row r="564" ht="12.75">
      <c r="A564" s="1">
        <v>2025</v>
      </c>
      <c r="B564" s="1" t="s">
        <v>35</v>
      </c>
      <c r="C564" s="7" t="s">
        <v>301</v>
      </c>
      <c r="D564" s="12" t="s">
        <v>150</v>
      </c>
      <c r="E564" s="33">
        <v>-5000</v>
      </c>
      <c r="F564" s="30"/>
      <c r="G564" s="15"/>
      <c r="H564" s="1"/>
      <c r="I564" s="1"/>
    </row>
    <row r="565" ht="12.75">
      <c r="A565" s="1">
        <v>2025</v>
      </c>
      <c r="B565" s="1" t="s">
        <v>35</v>
      </c>
      <c r="C565" s="7" t="s">
        <v>301</v>
      </c>
      <c r="D565" s="12" t="s">
        <v>151</v>
      </c>
      <c r="E565" s="33">
        <v>-2300</v>
      </c>
      <c r="F565" s="30"/>
      <c r="G565" s="15"/>
      <c r="H565" s="1"/>
      <c r="I565" s="1"/>
    </row>
    <row r="566" ht="12.75">
      <c r="A566" s="1">
        <v>2025</v>
      </c>
      <c r="B566" s="1" t="s">
        <v>35</v>
      </c>
      <c r="C566" s="7" t="s">
        <v>301</v>
      </c>
      <c r="D566" s="12" t="s">
        <v>152</v>
      </c>
      <c r="E566" s="33">
        <v>-4300</v>
      </c>
      <c r="F566" s="30"/>
      <c r="G566" s="15"/>
      <c r="H566" s="1"/>
      <c r="I566" s="1"/>
    </row>
    <row r="567" ht="12.75">
      <c r="A567" s="1">
        <v>2025</v>
      </c>
      <c r="B567" s="1" t="s">
        <v>35</v>
      </c>
      <c r="C567" s="7" t="s">
        <v>301</v>
      </c>
      <c r="D567" s="12" t="s">
        <v>153</v>
      </c>
      <c r="E567" s="33">
        <v>-10950</v>
      </c>
      <c r="F567" s="30"/>
      <c r="G567" s="15"/>
      <c r="H567" s="1"/>
      <c r="I567" s="1"/>
    </row>
    <row r="568" ht="12.75">
      <c r="A568" s="1">
        <v>2025</v>
      </c>
      <c r="B568" s="1" t="s">
        <v>35</v>
      </c>
      <c r="C568" s="7" t="s">
        <v>301</v>
      </c>
      <c r="D568" s="12" t="s">
        <v>154</v>
      </c>
      <c r="E568" s="33">
        <v>0</v>
      </c>
      <c r="F568" s="30"/>
      <c r="G568" s="15"/>
      <c r="H568" s="1"/>
      <c r="I568" s="1"/>
    </row>
    <row r="569" ht="12.75">
      <c r="A569" s="1">
        <v>2025</v>
      </c>
      <c r="B569" s="1" t="s">
        <v>35</v>
      </c>
      <c r="C569" s="7" t="s">
        <v>301</v>
      </c>
      <c r="D569" s="12" t="s">
        <v>155</v>
      </c>
      <c r="E569" s="33">
        <v>0</v>
      </c>
      <c r="F569" s="30"/>
      <c r="G569" s="15"/>
      <c r="H569" s="1"/>
      <c r="I569" s="1"/>
    </row>
    <row r="570" ht="12.75">
      <c r="A570" s="1">
        <v>2025</v>
      </c>
      <c r="B570" s="1" t="s">
        <v>35</v>
      </c>
      <c r="C570" s="7" t="s">
        <v>301</v>
      </c>
      <c r="D570" s="12" t="s">
        <v>156</v>
      </c>
      <c r="E570" s="33">
        <v>0</v>
      </c>
      <c r="F570" s="30"/>
      <c r="G570" s="15"/>
      <c r="H570" s="1"/>
      <c r="I570" s="1"/>
    </row>
    <row r="571" ht="12.75">
      <c r="A571" s="1">
        <v>2025</v>
      </c>
      <c r="B571" s="1" t="s">
        <v>35</v>
      </c>
      <c r="C571" s="7" t="s">
        <v>301</v>
      </c>
      <c r="D571" s="12" t="s">
        <v>157</v>
      </c>
      <c r="E571" s="33">
        <v>0</v>
      </c>
      <c r="F571" s="30"/>
      <c r="G571" s="15"/>
      <c r="H571" s="1"/>
      <c r="I571" s="1"/>
    </row>
    <row r="572" ht="12.75">
      <c r="A572" s="1">
        <v>2025</v>
      </c>
      <c r="B572" s="1" t="s">
        <v>35</v>
      </c>
      <c r="C572" s="7" t="s">
        <v>301</v>
      </c>
      <c r="D572" s="12" t="s">
        <v>158</v>
      </c>
      <c r="E572" s="33">
        <v>-1500</v>
      </c>
      <c r="F572" s="30"/>
      <c r="G572" s="15"/>
      <c r="H572" s="1"/>
      <c r="I572" s="1"/>
    </row>
    <row r="573" ht="12.75">
      <c r="A573" s="1">
        <v>2025</v>
      </c>
      <c r="B573" s="1" t="s">
        <v>35</v>
      </c>
      <c r="C573" s="7" t="s">
        <v>301</v>
      </c>
      <c r="D573" s="12" t="s">
        <v>159</v>
      </c>
      <c r="E573" s="33">
        <v>-1000</v>
      </c>
      <c r="F573" s="30"/>
      <c r="G573" s="15"/>
      <c r="H573" s="1"/>
      <c r="I573" s="1"/>
    </row>
    <row r="574" ht="12.75">
      <c r="A574" s="1">
        <v>2025</v>
      </c>
      <c r="B574" s="1" t="s">
        <v>35</v>
      </c>
      <c r="C574" s="7" t="s">
        <v>301</v>
      </c>
      <c r="D574" s="12" t="s">
        <v>160</v>
      </c>
      <c r="E574" s="33">
        <v>-13500</v>
      </c>
      <c r="F574" s="30"/>
      <c r="G574" s="15"/>
      <c r="H574" s="1"/>
      <c r="I574" s="1"/>
    </row>
    <row r="575" ht="12.75">
      <c r="A575" s="1">
        <v>2025</v>
      </c>
      <c r="B575" s="1" t="s">
        <v>35</v>
      </c>
      <c r="C575" s="7" t="s">
        <v>301</v>
      </c>
      <c r="D575" s="12" t="s">
        <v>161</v>
      </c>
      <c r="E575" s="33">
        <v>-5000</v>
      </c>
      <c r="F575" s="30"/>
      <c r="G575" s="15"/>
      <c r="H575" s="1"/>
      <c r="I575" s="1"/>
    </row>
    <row r="576" ht="12.75">
      <c r="A576" s="1">
        <v>2025</v>
      </c>
      <c r="B576" s="1" t="s">
        <v>35</v>
      </c>
      <c r="C576" s="7" t="s">
        <v>301</v>
      </c>
      <c r="D576" s="12" t="s">
        <v>162</v>
      </c>
      <c r="E576" s="33">
        <v>-14700</v>
      </c>
      <c r="F576" s="30"/>
      <c r="G576" s="15"/>
      <c r="H576" s="1"/>
      <c r="I576" s="1"/>
    </row>
    <row r="577" ht="12.75">
      <c r="A577" s="1">
        <v>2025</v>
      </c>
      <c r="B577" s="1" t="s">
        <v>35</v>
      </c>
      <c r="C577" s="7" t="s">
        <v>301</v>
      </c>
      <c r="D577" s="12" t="s">
        <v>163</v>
      </c>
      <c r="E577" s="33">
        <v>-39900</v>
      </c>
      <c r="F577" s="30"/>
      <c r="G577" s="15"/>
      <c r="H577" s="1"/>
      <c r="I577" s="1"/>
    </row>
    <row r="578" ht="12.75">
      <c r="A578" s="1">
        <v>2025</v>
      </c>
      <c r="B578" s="1" t="s">
        <v>35</v>
      </c>
      <c r="C578" s="7" t="s">
        <v>301</v>
      </c>
      <c r="D578" s="12" t="s">
        <v>164</v>
      </c>
      <c r="E578" s="33">
        <v>-2200</v>
      </c>
      <c r="F578" s="30"/>
      <c r="G578" s="15"/>
      <c r="H578" s="1"/>
      <c r="I578" s="1"/>
    </row>
    <row r="579" ht="12.75">
      <c r="A579" s="1">
        <v>2025</v>
      </c>
      <c r="B579" s="1" t="s">
        <v>35</v>
      </c>
      <c r="C579" s="7" t="s">
        <v>301</v>
      </c>
      <c r="D579" s="12" t="s">
        <v>165</v>
      </c>
      <c r="E579" s="33">
        <v>-4000</v>
      </c>
      <c r="F579" s="30"/>
      <c r="G579" s="15"/>
      <c r="H579" s="1"/>
      <c r="I579" s="1"/>
    </row>
    <row r="580" ht="12.75">
      <c r="A580" s="1">
        <v>2025</v>
      </c>
      <c r="B580" s="1" t="s">
        <v>35</v>
      </c>
      <c r="C580" s="7" t="s">
        <v>301</v>
      </c>
      <c r="D580" s="12" t="s">
        <v>166</v>
      </c>
      <c r="E580" s="33">
        <v>-3000</v>
      </c>
      <c r="F580" s="30"/>
      <c r="G580" s="15"/>
      <c r="H580" s="1"/>
      <c r="I580" s="1"/>
    </row>
    <row r="581" ht="12.75">
      <c r="A581" s="1">
        <v>2025</v>
      </c>
      <c r="B581" s="1" t="s">
        <v>35</v>
      </c>
      <c r="C581" s="7" t="s">
        <v>301</v>
      </c>
      <c r="D581" s="12" t="s">
        <v>167</v>
      </c>
      <c r="E581" s="33">
        <v>-3000</v>
      </c>
      <c r="F581" s="30"/>
      <c r="G581" s="15"/>
      <c r="H581" s="1"/>
      <c r="I581" s="1"/>
    </row>
    <row r="582" ht="12.75">
      <c r="A582" s="1">
        <v>2025</v>
      </c>
      <c r="B582" s="1" t="s">
        <v>35</v>
      </c>
      <c r="C582" s="7" t="s">
        <v>301</v>
      </c>
      <c r="D582" s="12" t="s">
        <v>168</v>
      </c>
      <c r="E582" s="33">
        <v>-4000</v>
      </c>
      <c r="F582" s="30"/>
      <c r="G582" s="15"/>
      <c r="H582" s="1"/>
      <c r="I582" s="1"/>
    </row>
    <row r="583" ht="12.75">
      <c r="A583" s="1">
        <v>2025</v>
      </c>
      <c r="B583" s="1" t="s">
        <v>35</v>
      </c>
      <c r="C583" s="7" t="s">
        <v>301</v>
      </c>
      <c r="D583" s="12" t="s">
        <v>169</v>
      </c>
      <c r="E583" s="33">
        <v>-1000</v>
      </c>
      <c r="F583" s="30"/>
      <c r="G583" s="15"/>
      <c r="H583" s="1"/>
      <c r="I583" s="1"/>
    </row>
    <row r="584" ht="12.75">
      <c r="A584" s="1">
        <v>2025</v>
      </c>
      <c r="B584" s="1" t="s">
        <v>35</v>
      </c>
      <c r="C584" s="7" t="s">
        <v>301</v>
      </c>
      <c r="D584" s="12" t="s">
        <v>170</v>
      </c>
      <c r="E584" s="32">
        <v>-60000</v>
      </c>
      <c r="F584" s="30"/>
      <c r="G584" s="15"/>
      <c r="H584" s="1"/>
      <c r="I584" s="1"/>
    </row>
    <row r="585" ht="12.75">
      <c r="A585" s="1">
        <v>2025</v>
      </c>
      <c r="B585" s="1" t="s">
        <v>35</v>
      </c>
      <c r="C585" s="7" t="s">
        <v>301</v>
      </c>
      <c r="D585" s="12" t="s">
        <v>277</v>
      </c>
      <c r="E585" s="33">
        <v>-500</v>
      </c>
      <c r="F585" s="30"/>
      <c r="G585" s="15"/>
      <c r="H585" s="1"/>
      <c r="I585" s="1"/>
    </row>
    <row r="586" ht="12.75">
      <c r="A586" s="1">
        <v>2025</v>
      </c>
      <c r="B586" s="1" t="s">
        <v>35</v>
      </c>
      <c r="C586" s="7" t="s">
        <v>302</v>
      </c>
      <c r="D586" s="12" t="s">
        <v>104</v>
      </c>
      <c r="E586" s="29">
        <v>0</v>
      </c>
      <c r="F586" s="30"/>
      <c r="G586" s="15"/>
      <c r="H586" s="1"/>
      <c r="I586" s="1"/>
    </row>
    <row r="587" ht="12.75">
      <c r="A587" s="1">
        <v>2025</v>
      </c>
      <c r="B587" s="1" t="s">
        <v>35</v>
      </c>
      <c r="C587" s="7" t="s">
        <v>302</v>
      </c>
      <c r="D587" s="12" t="s">
        <v>105</v>
      </c>
      <c r="E587" s="29">
        <v>-40000</v>
      </c>
      <c r="F587" s="30"/>
      <c r="G587" s="15"/>
      <c r="H587" s="1"/>
      <c r="I587" s="1"/>
    </row>
    <row r="588" ht="12.75">
      <c r="A588" s="1">
        <v>2025</v>
      </c>
      <c r="B588" s="1" t="s">
        <v>35</v>
      </c>
      <c r="C588" s="7" t="s">
        <v>302</v>
      </c>
      <c r="D588" s="12" t="s">
        <v>106</v>
      </c>
      <c r="E588" s="29">
        <v>-37000</v>
      </c>
      <c r="F588" s="30"/>
      <c r="G588" s="15"/>
      <c r="H588" s="1"/>
      <c r="I588" s="1"/>
    </row>
    <row r="589" ht="12.75">
      <c r="A589" s="1">
        <v>2025</v>
      </c>
      <c r="B589" s="1" t="s">
        <v>35</v>
      </c>
      <c r="C589" s="7" t="s">
        <v>302</v>
      </c>
      <c r="D589" s="12" t="s">
        <v>280</v>
      </c>
      <c r="E589" s="29">
        <v>-2000</v>
      </c>
      <c r="F589" s="30"/>
      <c r="G589" s="15"/>
      <c r="H589" s="1"/>
      <c r="I589" s="1"/>
    </row>
    <row r="590" ht="12.75">
      <c r="A590" s="1">
        <v>2025</v>
      </c>
      <c r="B590" s="1" t="s">
        <v>35</v>
      </c>
      <c r="C590" s="7" t="s">
        <v>302</v>
      </c>
      <c r="D590" s="12" t="s">
        <v>108</v>
      </c>
      <c r="E590" s="33">
        <v>-1000</v>
      </c>
      <c r="F590" s="30"/>
      <c r="G590" s="15"/>
      <c r="H590" s="1"/>
      <c r="I590" s="1"/>
    </row>
    <row r="591" ht="12.75">
      <c r="A591" s="1">
        <v>2025</v>
      </c>
      <c r="B591" s="1" t="s">
        <v>35</v>
      </c>
      <c r="C591" s="7" t="s">
        <v>302</v>
      </c>
      <c r="D591" s="12" t="s">
        <v>109</v>
      </c>
      <c r="E591" s="33">
        <v>-6000</v>
      </c>
      <c r="F591" s="30"/>
      <c r="G591" s="15"/>
      <c r="H591" s="1"/>
      <c r="I591" s="1"/>
    </row>
    <row r="592" ht="12.75">
      <c r="A592" s="1">
        <v>2025</v>
      </c>
      <c r="B592" s="1" t="s">
        <v>35</v>
      </c>
      <c r="C592" s="7" t="s">
        <v>302</v>
      </c>
      <c r="D592" s="12" t="s">
        <v>110</v>
      </c>
      <c r="E592" s="33">
        <v>-250</v>
      </c>
      <c r="F592" s="30"/>
      <c r="G592" s="15"/>
      <c r="H592" s="1"/>
      <c r="I592" s="1"/>
    </row>
    <row r="593" ht="12.75">
      <c r="A593" s="1">
        <v>2025</v>
      </c>
      <c r="B593" s="1" t="s">
        <v>35</v>
      </c>
      <c r="C593" s="7" t="s">
        <v>302</v>
      </c>
      <c r="D593" s="12" t="s">
        <v>111</v>
      </c>
      <c r="E593" s="33">
        <v>-5000</v>
      </c>
      <c r="F593" s="30"/>
      <c r="G593" s="15"/>
      <c r="H593" s="1"/>
      <c r="I593" s="1"/>
    </row>
    <row r="594" ht="12.75">
      <c r="A594" s="1">
        <v>2025</v>
      </c>
      <c r="B594" s="1" t="s">
        <v>35</v>
      </c>
      <c r="C594" s="7" t="s">
        <v>302</v>
      </c>
      <c r="D594" s="12" t="s">
        <v>112</v>
      </c>
      <c r="E594" s="33">
        <v>-500</v>
      </c>
      <c r="F594" s="30"/>
      <c r="G594" s="15"/>
      <c r="H594" s="1"/>
      <c r="I594" s="1"/>
    </row>
    <row r="595" ht="12.75">
      <c r="A595" s="1">
        <v>2025</v>
      </c>
      <c r="B595" s="1" t="s">
        <v>35</v>
      </c>
      <c r="C595" s="7" t="s">
        <v>303</v>
      </c>
      <c r="D595" s="12" t="s">
        <v>64</v>
      </c>
      <c r="E595" s="29">
        <v>-3525</v>
      </c>
      <c r="F595" s="30"/>
      <c r="G595" s="15"/>
      <c r="H595" s="1"/>
      <c r="I595" s="1"/>
    </row>
    <row r="596" ht="12.75">
      <c r="A596" s="1">
        <v>2025</v>
      </c>
      <c r="B596" s="1" t="s">
        <v>35</v>
      </c>
      <c r="C596" s="7" t="s">
        <v>303</v>
      </c>
      <c r="D596" s="12" t="s">
        <v>65</v>
      </c>
      <c r="E596" s="45">
        <v>0</v>
      </c>
      <c r="F596" s="30"/>
      <c r="G596" s="15"/>
      <c r="H596" s="1"/>
      <c r="I596" s="1"/>
    </row>
    <row r="597" ht="12.75">
      <c r="A597" s="1">
        <v>2025</v>
      </c>
      <c r="B597" s="1" t="s">
        <v>35</v>
      </c>
      <c r="C597" s="7" t="s">
        <v>303</v>
      </c>
      <c r="D597" s="12" t="s">
        <v>66</v>
      </c>
      <c r="E597" s="33">
        <v>-375</v>
      </c>
      <c r="F597" s="30"/>
      <c r="G597" s="15"/>
      <c r="H597" s="1"/>
      <c r="I597" s="1"/>
    </row>
    <row r="598" ht="12.75">
      <c r="A598" s="1">
        <v>2025</v>
      </c>
      <c r="B598" s="1" t="s">
        <v>35</v>
      </c>
      <c r="C598" s="7" t="s">
        <v>304</v>
      </c>
      <c r="D598" s="12" t="s">
        <v>51</v>
      </c>
      <c r="E598" s="33">
        <v>-8417</v>
      </c>
      <c r="F598" s="30"/>
      <c r="G598" s="15"/>
      <c r="H598" s="1"/>
      <c r="I598" s="1"/>
    </row>
    <row r="599" ht="12.75">
      <c r="A599" s="1">
        <v>2025</v>
      </c>
      <c r="B599" s="1" t="s">
        <v>35</v>
      </c>
      <c r="C599" s="7" t="s">
        <v>304</v>
      </c>
      <c r="D599" s="12" t="s">
        <v>52</v>
      </c>
      <c r="E599" s="29">
        <v>-110016</v>
      </c>
      <c r="F599" s="30"/>
      <c r="G599" s="15"/>
      <c r="H599" s="1"/>
      <c r="I599" s="1"/>
    </row>
    <row r="600" ht="12.75">
      <c r="A600" s="1">
        <v>2025</v>
      </c>
      <c r="B600" s="1" t="s">
        <v>35</v>
      </c>
      <c r="C600" s="7" t="s">
        <v>304</v>
      </c>
      <c r="D600" s="12" t="s">
        <v>53</v>
      </c>
      <c r="E600" s="33">
        <v>-2624</v>
      </c>
      <c r="F600" s="30"/>
      <c r="G600" s="15"/>
      <c r="H600" s="1"/>
      <c r="I600" s="1"/>
    </row>
    <row r="601" ht="12.75">
      <c r="A601" s="1">
        <v>2025</v>
      </c>
      <c r="B601" s="1" t="s">
        <v>35</v>
      </c>
      <c r="C601" s="7" t="s">
        <v>304</v>
      </c>
      <c r="D601" s="12" t="s">
        <v>54</v>
      </c>
      <c r="E601" s="33">
        <v>-15000</v>
      </c>
      <c r="F601" s="30"/>
      <c r="G601" s="15"/>
      <c r="H601" s="1"/>
      <c r="I601" s="1"/>
    </row>
    <row r="602" ht="12.75">
      <c r="A602" s="1">
        <v>2025</v>
      </c>
      <c r="B602" s="1" t="s">
        <v>35</v>
      </c>
      <c r="C602" s="7" t="s">
        <v>304</v>
      </c>
      <c r="D602" s="12" t="s">
        <v>55</v>
      </c>
      <c r="E602" s="33">
        <v>-1000</v>
      </c>
      <c r="F602" s="30"/>
      <c r="G602" s="15"/>
      <c r="H602" s="1"/>
      <c r="I602" s="1"/>
    </row>
    <row r="603" ht="12.75">
      <c r="A603" s="1">
        <v>2025</v>
      </c>
      <c r="B603" s="1" t="s">
        <v>35</v>
      </c>
      <c r="C603" s="7" t="s">
        <v>304</v>
      </c>
      <c r="D603" s="43" t="s">
        <v>305</v>
      </c>
      <c r="E603" s="44">
        <v>-1000</v>
      </c>
      <c r="F603" s="30"/>
      <c r="G603" s="15"/>
      <c r="H603" s="1"/>
      <c r="I603" s="1"/>
    </row>
    <row r="604" ht="12.75">
      <c r="A604" s="1">
        <v>2025</v>
      </c>
      <c r="B604" s="1" t="s">
        <v>35</v>
      </c>
      <c r="C604" s="7" t="s">
        <v>304</v>
      </c>
      <c r="D604" s="43" t="s">
        <v>306</v>
      </c>
      <c r="E604" s="44">
        <v>-2000</v>
      </c>
      <c r="F604" s="30"/>
      <c r="G604" s="15"/>
      <c r="H604" s="1"/>
      <c r="I604" s="1"/>
    </row>
    <row r="605" ht="12.75">
      <c r="A605" s="1">
        <v>2025</v>
      </c>
      <c r="B605" s="1" t="s">
        <v>35</v>
      </c>
      <c r="C605" s="7" t="s">
        <v>304</v>
      </c>
      <c r="D605" s="12" t="s">
        <v>37</v>
      </c>
      <c r="E605" s="29">
        <v>-3500</v>
      </c>
      <c r="F605" s="30"/>
      <c r="G605" s="15"/>
      <c r="H605" s="1"/>
      <c r="I605" s="1"/>
    </row>
    <row r="606" ht="12.75">
      <c r="A606" s="1">
        <v>2025</v>
      </c>
      <c r="B606" s="1" t="s">
        <v>35</v>
      </c>
      <c r="C606" s="7" t="s">
        <v>304</v>
      </c>
      <c r="D606" s="17" t="s">
        <v>38</v>
      </c>
      <c r="E606" s="29">
        <v>0</v>
      </c>
      <c r="F606" s="30"/>
      <c r="G606" s="15"/>
      <c r="H606" s="1"/>
      <c r="I606" s="1"/>
    </row>
    <row r="607" ht="12.75">
      <c r="A607" s="1">
        <v>2025</v>
      </c>
      <c r="B607" s="1" t="s">
        <v>35</v>
      </c>
      <c r="C607" s="7" t="s">
        <v>304</v>
      </c>
      <c r="D607" s="12" t="s">
        <v>39</v>
      </c>
      <c r="E607" s="29">
        <v>-1000</v>
      </c>
      <c r="F607" s="30"/>
      <c r="G607" s="15"/>
      <c r="H607" s="1"/>
      <c r="I607" s="1"/>
    </row>
    <row r="608" ht="12.75">
      <c r="A608" s="1">
        <v>2025</v>
      </c>
      <c r="B608" s="1" t="s">
        <v>35</v>
      </c>
      <c r="C608" s="7" t="s">
        <v>304</v>
      </c>
      <c r="D608" s="12" t="s">
        <v>40</v>
      </c>
      <c r="E608" s="29">
        <v>-13200</v>
      </c>
      <c r="F608" s="30"/>
      <c r="G608" s="15"/>
      <c r="H608" s="1"/>
      <c r="I608" s="1"/>
    </row>
    <row r="609" ht="12.75">
      <c r="A609" s="1">
        <v>2025</v>
      </c>
      <c r="B609" s="1" t="s">
        <v>35</v>
      </c>
      <c r="C609" s="7" t="s">
        <v>304</v>
      </c>
      <c r="D609" s="12" t="s">
        <v>41</v>
      </c>
      <c r="E609" s="29">
        <v>-4000</v>
      </c>
      <c r="F609" s="30"/>
      <c r="G609" s="15"/>
      <c r="H609" s="1"/>
      <c r="I609" s="1"/>
    </row>
    <row r="610" ht="12.75">
      <c r="A610" s="1">
        <v>2025</v>
      </c>
      <c r="B610" s="1" t="s">
        <v>35</v>
      </c>
      <c r="C610" s="7" t="s">
        <v>304</v>
      </c>
      <c r="D610" s="12" t="s">
        <v>42</v>
      </c>
      <c r="E610" s="29">
        <v>-3000</v>
      </c>
      <c r="F610" s="30"/>
      <c r="G610" s="15"/>
      <c r="H610" s="1"/>
      <c r="I610" s="1"/>
    </row>
    <row r="611" ht="12.75">
      <c r="A611" s="1">
        <v>2025</v>
      </c>
      <c r="B611" s="1" t="s">
        <v>35</v>
      </c>
      <c r="C611" s="7" t="s">
        <v>304</v>
      </c>
      <c r="D611" s="12" t="s">
        <v>43</v>
      </c>
      <c r="E611" s="29">
        <v>-1500</v>
      </c>
      <c r="F611" s="30"/>
      <c r="G611" s="15"/>
      <c r="H611" s="1"/>
      <c r="I611" s="1"/>
    </row>
    <row r="612" ht="12.75">
      <c r="A612" s="1">
        <v>2025</v>
      </c>
      <c r="B612" s="1" t="s">
        <v>35</v>
      </c>
      <c r="C612" s="7" t="s">
        <v>304</v>
      </c>
      <c r="D612" s="12" t="s">
        <v>44</v>
      </c>
      <c r="E612" s="29">
        <v>-2000</v>
      </c>
      <c r="F612" s="30"/>
      <c r="G612" s="15"/>
      <c r="H612" s="1"/>
      <c r="I612" s="1"/>
    </row>
    <row r="613" ht="12.75">
      <c r="A613" s="1">
        <v>2025</v>
      </c>
      <c r="B613" s="1" t="s">
        <v>35</v>
      </c>
      <c r="C613" s="7" t="s">
        <v>304</v>
      </c>
      <c r="D613" s="12" t="s">
        <v>45</v>
      </c>
      <c r="E613" s="29">
        <v>-3000</v>
      </c>
      <c r="F613" s="30"/>
      <c r="G613" s="15"/>
      <c r="H613" s="1"/>
      <c r="I613" s="1"/>
    </row>
    <row r="614" ht="12.75">
      <c r="A614" s="1">
        <v>2025</v>
      </c>
      <c r="B614" s="1" t="s">
        <v>35</v>
      </c>
      <c r="C614" s="7" t="s">
        <v>304</v>
      </c>
      <c r="D614" s="12" t="s">
        <v>46</v>
      </c>
      <c r="E614" s="29">
        <v>-2500</v>
      </c>
      <c r="F614" s="30"/>
      <c r="G614" s="15"/>
      <c r="H614" s="1"/>
      <c r="I614" s="1"/>
    </row>
    <row r="615" ht="12.75">
      <c r="A615" s="1">
        <v>2025</v>
      </c>
      <c r="B615" s="1" t="s">
        <v>35</v>
      </c>
      <c r="C615" s="7" t="s">
        <v>304</v>
      </c>
      <c r="D615" s="12" t="s">
        <v>283</v>
      </c>
      <c r="E615" s="29">
        <v>-1000</v>
      </c>
      <c r="F615" s="30"/>
      <c r="G615" s="15"/>
      <c r="H615" s="1"/>
      <c r="I615" s="1"/>
    </row>
    <row r="616" ht="12.75">
      <c r="A616" s="1">
        <v>2025</v>
      </c>
      <c r="B616" s="1" t="s">
        <v>35</v>
      </c>
      <c r="C616" s="7" t="s">
        <v>304</v>
      </c>
      <c r="D616" s="12" t="s">
        <v>47</v>
      </c>
      <c r="E616" s="29">
        <v>-1000</v>
      </c>
      <c r="F616" s="30"/>
      <c r="G616" s="15"/>
      <c r="H616" s="1"/>
      <c r="I616" s="1"/>
    </row>
    <row r="617" ht="12.75">
      <c r="A617" s="1">
        <v>2025</v>
      </c>
      <c r="B617" s="1" t="s">
        <v>35</v>
      </c>
      <c r="C617" s="7" t="s">
        <v>304</v>
      </c>
      <c r="D617" s="12" t="s">
        <v>48</v>
      </c>
      <c r="E617" s="29">
        <v>-5000</v>
      </c>
      <c r="F617" s="30"/>
      <c r="G617" s="15"/>
      <c r="H617" s="1"/>
      <c r="I617" s="1"/>
    </row>
    <row r="618" ht="12.75">
      <c r="A618" s="1">
        <v>2025</v>
      </c>
      <c r="B618" s="1" t="s">
        <v>35</v>
      </c>
      <c r="C618" s="7" t="s">
        <v>304</v>
      </c>
      <c r="D618" s="12" t="s">
        <v>49</v>
      </c>
      <c r="E618" s="29">
        <v>-6000</v>
      </c>
      <c r="F618" s="30"/>
      <c r="G618" s="15"/>
      <c r="H618" s="1"/>
      <c r="I618" s="1"/>
    </row>
    <row r="619" ht="12.75">
      <c r="A619" s="1">
        <v>2025</v>
      </c>
      <c r="B619" s="1" t="s">
        <v>35</v>
      </c>
      <c r="C619" s="7" t="s">
        <v>307</v>
      </c>
      <c r="D619" s="12" t="s">
        <v>285</v>
      </c>
      <c r="E619" s="33">
        <v>-1500</v>
      </c>
      <c r="F619" s="30"/>
      <c r="G619" s="15"/>
      <c r="H619" s="1"/>
      <c r="I619" s="1"/>
    </row>
    <row r="620" ht="12.75">
      <c r="A620" s="1">
        <v>2025</v>
      </c>
      <c r="B620" s="1" t="s">
        <v>35</v>
      </c>
      <c r="C620" s="7" t="s">
        <v>307</v>
      </c>
      <c r="D620" s="12" t="s">
        <v>84</v>
      </c>
      <c r="E620" s="33">
        <v>-1000</v>
      </c>
      <c r="F620" s="30"/>
      <c r="G620" s="15"/>
      <c r="H620" s="1"/>
      <c r="I620" s="1"/>
    </row>
    <row r="621" ht="12.75">
      <c r="A621" s="1">
        <v>2025</v>
      </c>
      <c r="B621" s="1" t="s">
        <v>35</v>
      </c>
      <c r="C621" s="7" t="s">
        <v>307</v>
      </c>
      <c r="D621" s="12" t="s">
        <v>85</v>
      </c>
      <c r="E621" s="33">
        <v>-2000</v>
      </c>
      <c r="F621" s="30"/>
      <c r="G621" s="15"/>
      <c r="H621" s="1"/>
      <c r="I621" s="1"/>
    </row>
    <row r="622" ht="12.75">
      <c r="A622" s="1">
        <v>2025</v>
      </c>
      <c r="B622" s="1" t="s">
        <v>35</v>
      </c>
      <c r="C622" s="7" t="s">
        <v>307</v>
      </c>
      <c r="D622" s="12" t="s">
        <v>86</v>
      </c>
      <c r="E622" s="33">
        <v>-750</v>
      </c>
      <c r="F622" s="30"/>
      <c r="G622" s="15"/>
      <c r="H622" s="1"/>
      <c r="I622" s="1"/>
    </row>
    <row r="623" ht="12.75">
      <c r="A623" s="1">
        <v>2025</v>
      </c>
      <c r="B623" s="1" t="s">
        <v>35</v>
      </c>
      <c r="C623" s="7" t="s">
        <v>307</v>
      </c>
      <c r="D623" s="12" t="s">
        <v>87</v>
      </c>
      <c r="E623" s="33">
        <v>-2000</v>
      </c>
      <c r="F623" s="30"/>
      <c r="G623" s="15"/>
      <c r="H623" s="1"/>
      <c r="I623" s="1"/>
    </row>
    <row r="624" ht="12.75">
      <c r="A624" s="1">
        <v>2025</v>
      </c>
      <c r="B624" s="1" t="s">
        <v>35</v>
      </c>
      <c r="C624" s="7" t="s">
        <v>307</v>
      </c>
      <c r="D624" s="12" t="s">
        <v>308</v>
      </c>
      <c r="E624" s="33">
        <v>-2000</v>
      </c>
      <c r="F624" s="30"/>
      <c r="G624" s="15"/>
      <c r="H624" s="1"/>
      <c r="I624" s="1"/>
    </row>
    <row r="625" ht="12.75">
      <c r="A625" s="1">
        <v>2025</v>
      </c>
      <c r="B625" s="1" t="s">
        <v>35</v>
      </c>
      <c r="C625" s="7" t="s">
        <v>307</v>
      </c>
      <c r="D625" s="12" t="s">
        <v>90</v>
      </c>
      <c r="E625" s="29">
        <v>-19200</v>
      </c>
      <c r="F625" s="30"/>
      <c r="G625" s="15"/>
      <c r="H625" s="1"/>
      <c r="I625" s="1"/>
    </row>
    <row r="626" ht="12.75">
      <c r="A626" s="1">
        <v>2025</v>
      </c>
      <c r="B626" s="1" t="s">
        <v>35</v>
      </c>
      <c r="C626" s="7" t="s">
        <v>307</v>
      </c>
      <c r="D626" s="12" t="s">
        <v>91</v>
      </c>
      <c r="E626" s="33">
        <v>-1296</v>
      </c>
      <c r="F626" s="30"/>
      <c r="G626" s="15"/>
      <c r="H626" s="1"/>
      <c r="I626" s="1"/>
    </row>
    <row r="627" ht="12.75">
      <c r="A627" s="1">
        <v>2025</v>
      </c>
      <c r="B627" s="1" t="s">
        <v>35</v>
      </c>
      <c r="C627" s="7" t="s">
        <v>307</v>
      </c>
      <c r="D627" s="12" t="s">
        <v>92</v>
      </c>
      <c r="E627" s="33">
        <v>0</v>
      </c>
      <c r="F627" s="30"/>
      <c r="G627" s="15"/>
      <c r="H627" s="1"/>
      <c r="I627" s="1"/>
    </row>
    <row r="628" ht="12.75">
      <c r="A628" s="1">
        <v>2025</v>
      </c>
      <c r="B628" s="1" t="s">
        <v>35</v>
      </c>
      <c r="C628" s="7" t="s">
        <v>307</v>
      </c>
      <c r="D628" s="12" t="s">
        <v>93</v>
      </c>
      <c r="E628" s="33">
        <v>0</v>
      </c>
      <c r="F628" s="30"/>
      <c r="G628" s="15"/>
      <c r="H628" s="1"/>
      <c r="I628" s="1"/>
    </row>
    <row r="629" ht="12.75">
      <c r="A629" s="1"/>
      <c r="B629" s="1"/>
      <c r="C629" s="7"/>
      <c r="D629" s="46"/>
      <c r="E629" s="13"/>
      <c r="F629" s="15"/>
      <c r="G629" s="15"/>
      <c r="H629" s="1"/>
      <c r="I629" s="1"/>
    </row>
    <row r="630" ht="12.75">
      <c r="A630" s="1"/>
      <c r="B630" s="1"/>
      <c r="C630" s="7"/>
      <c r="D630" s="46"/>
      <c r="E630" s="13"/>
      <c r="F630" s="15"/>
      <c r="G630" s="15"/>
      <c r="H630" s="1"/>
      <c r="I630" s="1"/>
    </row>
    <row r="631" ht="12.75">
      <c r="A631" s="1"/>
      <c r="B631" s="1"/>
      <c r="C631" s="7"/>
      <c r="D631" s="12"/>
      <c r="E631" s="13"/>
      <c r="F631" s="15"/>
      <c r="G631" s="15"/>
      <c r="H631" s="1"/>
      <c r="I631" s="1"/>
    </row>
    <row r="632" ht="12.75">
      <c r="A632" s="1"/>
      <c r="B632" s="1"/>
      <c r="C632" s="7"/>
      <c r="D632" s="46"/>
      <c r="E632" s="13"/>
      <c r="F632" s="15"/>
      <c r="G632" s="15"/>
      <c r="H632" s="1"/>
      <c r="I632" s="1"/>
    </row>
    <row r="633" ht="12.75">
      <c r="A633" s="1"/>
      <c r="B633" s="1"/>
      <c r="C633" s="7"/>
      <c r="D633" s="46"/>
      <c r="E633" s="13"/>
      <c r="F633" s="15"/>
      <c r="G633" s="15"/>
      <c r="H633" s="1"/>
      <c r="I633" s="1"/>
    </row>
    <row r="634" ht="12.75">
      <c r="A634" s="1"/>
      <c r="B634" s="1"/>
      <c r="C634" s="7"/>
      <c r="D634" s="46"/>
      <c r="E634" s="13"/>
      <c r="F634" s="15"/>
      <c r="G634" s="15"/>
      <c r="H634" s="1"/>
      <c r="I634" s="1"/>
    </row>
    <row r="635" ht="12.75">
      <c r="A635" s="1"/>
      <c r="B635" s="1"/>
      <c r="C635" s="7"/>
      <c r="D635" s="46"/>
      <c r="E635" s="13"/>
      <c r="F635" s="15"/>
      <c r="G635" s="15"/>
      <c r="H635" s="1"/>
      <c r="I635" s="1"/>
    </row>
    <row r="636" ht="12.75">
      <c r="A636" s="1"/>
      <c r="B636" s="1"/>
      <c r="C636" s="7"/>
      <c r="D636" s="46"/>
      <c r="E636" s="13"/>
      <c r="F636" s="15"/>
      <c r="G636" s="15"/>
      <c r="H636" s="1"/>
      <c r="I636" s="1"/>
    </row>
    <row r="637" ht="12.75">
      <c r="A637" s="1"/>
      <c r="B637" s="1"/>
      <c r="C637" s="7"/>
      <c r="D637" s="46"/>
      <c r="E637" s="13"/>
      <c r="F637" s="15"/>
      <c r="G637" s="15"/>
      <c r="H637" s="1"/>
      <c r="I637" s="1"/>
    </row>
    <row r="638" ht="12.75">
      <c r="A638" s="1"/>
      <c r="B638" s="1"/>
      <c r="C638" s="7"/>
      <c r="D638" s="46"/>
      <c r="E638" s="13"/>
      <c r="F638" s="15"/>
      <c r="G638" s="15"/>
      <c r="H638" s="1"/>
      <c r="I638" s="1"/>
    </row>
    <row r="639" ht="12.75">
      <c r="A639" s="1"/>
      <c r="B639" s="1"/>
      <c r="C639" s="7"/>
      <c r="D639" s="46"/>
      <c r="E639" s="13"/>
      <c r="F639" s="15"/>
      <c r="G639" s="15"/>
      <c r="H639" s="1"/>
      <c r="I639" s="1"/>
    </row>
    <row r="640" ht="12.75">
      <c r="A640" s="1"/>
      <c r="B640" s="1"/>
      <c r="C640" s="7"/>
      <c r="D640" s="46"/>
      <c r="E640" s="13"/>
      <c r="F640" s="15"/>
      <c r="G640" s="15"/>
      <c r="H640" s="1"/>
      <c r="I640" s="1"/>
    </row>
    <row r="641" ht="12.75">
      <c r="A641" s="1"/>
      <c r="B641" s="1"/>
      <c r="C641" s="7"/>
      <c r="D641" s="47"/>
      <c r="E641" s="48"/>
      <c r="F641" s="15"/>
      <c r="G641" s="15"/>
      <c r="H641" s="1"/>
      <c r="I641" s="1"/>
    </row>
    <row r="642" ht="12.75">
      <c r="A642" s="1"/>
      <c r="B642" s="1"/>
      <c r="C642" s="7"/>
      <c r="D642" s="46"/>
      <c r="E642" s="13"/>
      <c r="F642" s="15"/>
      <c r="G642" s="15"/>
      <c r="H642" s="1"/>
      <c r="I642" s="1"/>
    </row>
    <row r="643" ht="12.75">
      <c r="A643" s="1"/>
      <c r="B643" s="1"/>
      <c r="C643" s="7"/>
      <c r="D643" s="49"/>
      <c r="E643" s="16"/>
      <c r="F643" s="15"/>
      <c r="G643" s="15"/>
      <c r="H643" s="1"/>
      <c r="I643" s="1"/>
    </row>
    <row r="644" ht="12.75">
      <c r="A644" s="1"/>
      <c r="B644" s="1"/>
      <c r="C644" s="7"/>
      <c r="D644" s="46"/>
      <c r="E644" s="13"/>
      <c r="F644" s="15"/>
      <c r="G644" s="15"/>
      <c r="H644" s="1"/>
      <c r="I644" s="1"/>
    </row>
    <row r="645" ht="12.75">
      <c r="A645" s="1"/>
      <c r="B645" s="1"/>
      <c r="C645" s="7"/>
      <c r="D645" s="46"/>
      <c r="E645" s="13"/>
      <c r="F645" s="15"/>
      <c r="G645" s="15"/>
      <c r="H645" s="1"/>
      <c r="I645" s="1"/>
    </row>
    <row r="646" ht="12.75">
      <c r="A646" s="1"/>
      <c r="B646" s="1"/>
      <c r="C646" s="7"/>
      <c r="D646" s="12"/>
      <c r="E646" s="13"/>
      <c r="F646" s="15"/>
      <c r="G646" s="15"/>
      <c r="H646" s="1"/>
      <c r="I646" s="1"/>
    </row>
    <row r="647" ht="12.75">
      <c r="A647" s="1"/>
      <c r="B647" s="1"/>
      <c r="C647" s="7"/>
      <c r="D647" s="46"/>
      <c r="E647" s="13"/>
      <c r="F647" s="15"/>
      <c r="G647" s="15"/>
      <c r="H647" s="1"/>
      <c r="I647" s="1"/>
    </row>
    <row r="648" ht="12.75">
      <c r="A648" s="1"/>
      <c r="B648" s="1"/>
      <c r="C648" s="7"/>
      <c r="D648" s="47"/>
      <c r="E648" s="48"/>
      <c r="F648" s="15"/>
      <c r="G648" s="15"/>
      <c r="H648" s="1"/>
      <c r="I648" s="1"/>
    </row>
    <row r="649" ht="12.75">
      <c r="A649" s="1"/>
      <c r="B649" s="1"/>
      <c r="C649" s="7"/>
      <c r="D649" s="47"/>
      <c r="E649" s="48"/>
      <c r="F649" s="15"/>
      <c r="G649" s="15"/>
      <c r="H649" s="1"/>
      <c r="I649" s="1"/>
    </row>
    <row r="650" ht="12.75">
      <c r="A650" s="1"/>
      <c r="B650" s="1"/>
      <c r="C650" s="7"/>
      <c r="D650" s="47"/>
      <c r="E650" s="48"/>
      <c r="F650" s="15"/>
      <c r="G650" s="15"/>
      <c r="H650" s="1"/>
      <c r="I650" s="1"/>
    </row>
    <row r="651" ht="12.75">
      <c r="A651" s="1"/>
      <c r="B651" s="1"/>
      <c r="C651" s="7"/>
      <c r="D651" s="46"/>
      <c r="E651" s="13"/>
      <c r="F651" s="15"/>
      <c r="G651" s="15"/>
      <c r="H651" s="1"/>
      <c r="I651" s="1"/>
    </row>
    <row r="652" ht="12.75">
      <c r="A652" s="1"/>
      <c r="B652" s="1"/>
      <c r="C652" s="7"/>
      <c r="D652" s="12"/>
      <c r="E652" s="13"/>
      <c r="F652" s="15"/>
      <c r="G652" s="15"/>
      <c r="H652" s="1"/>
      <c r="I652" s="1"/>
    </row>
    <row r="653" ht="12.75">
      <c r="A653" s="1"/>
      <c r="B653" s="1"/>
      <c r="C653" s="7"/>
      <c r="D653" s="46"/>
      <c r="E653" s="13"/>
      <c r="F653" s="15"/>
      <c r="G653" s="15"/>
      <c r="H653" s="1"/>
      <c r="I653" s="1"/>
    </row>
    <row r="654" ht="12.75">
      <c r="A654" s="1"/>
      <c r="B654" s="1"/>
      <c r="C654" s="7"/>
      <c r="D654" s="46"/>
      <c r="E654" s="13"/>
      <c r="F654" s="15"/>
      <c r="G654" s="15"/>
      <c r="H654" s="1"/>
      <c r="I654" s="1"/>
    </row>
    <row r="655" ht="12.75">
      <c r="A655" s="1"/>
      <c r="B655" s="1"/>
      <c r="C655" s="7"/>
      <c r="D655" s="46"/>
      <c r="E655" s="13"/>
      <c r="F655" s="15"/>
      <c r="G655" s="15"/>
      <c r="H655" s="1"/>
      <c r="I655" s="1"/>
    </row>
    <row r="656" ht="12.75">
      <c r="A656" s="1"/>
      <c r="B656" s="1"/>
      <c r="C656" s="7"/>
      <c r="D656" s="46"/>
      <c r="E656" s="13"/>
      <c r="F656" s="15"/>
      <c r="G656" s="15"/>
      <c r="H656" s="1"/>
      <c r="I656" s="1"/>
    </row>
    <row r="657" ht="12.75">
      <c r="A657" s="1"/>
      <c r="B657" s="1"/>
      <c r="C657" s="7"/>
      <c r="D657" s="46"/>
      <c r="E657" s="13"/>
      <c r="F657" s="15"/>
      <c r="G657" s="15"/>
      <c r="H657" s="1"/>
      <c r="I657" s="1"/>
    </row>
    <row r="658" ht="12.75">
      <c r="A658" s="1"/>
      <c r="B658" s="1"/>
      <c r="C658" s="7"/>
      <c r="D658" s="46"/>
      <c r="E658" s="13"/>
      <c r="F658" s="15"/>
      <c r="G658" s="15"/>
      <c r="H658" s="1"/>
      <c r="I658" s="1"/>
    </row>
    <row r="659" ht="12.75">
      <c r="A659" s="1"/>
      <c r="B659" s="1"/>
      <c r="C659" s="7"/>
      <c r="D659" s="12"/>
      <c r="E659" s="13"/>
      <c r="F659" s="15"/>
      <c r="G659" s="15"/>
      <c r="H659" s="1"/>
      <c r="I659" s="1"/>
    </row>
    <row r="660" ht="12.75">
      <c r="A660" s="1"/>
      <c r="B660" s="1"/>
      <c r="C660" s="7"/>
      <c r="D660" s="47"/>
      <c r="E660" s="48"/>
      <c r="F660" s="15"/>
      <c r="G660" s="15"/>
      <c r="H660" s="1"/>
      <c r="I660" s="1"/>
    </row>
    <row r="661" ht="12.75">
      <c r="A661" s="1"/>
      <c r="B661" s="1"/>
      <c r="C661" s="7"/>
      <c r="D661" s="47"/>
      <c r="E661" s="48"/>
      <c r="F661" s="15"/>
      <c r="G661" s="15"/>
      <c r="H661" s="1"/>
      <c r="I661" s="1"/>
    </row>
    <row r="662" ht="12.75">
      <c r="A662" s="1"/>
      <c r="B662" s="1"/>
      <c r="C662" s="7"/>
      <c r="D662" s="1"/>
      <c r="E662" s="1"/>
      <c r="F662" s="6"/>
      <c r="G662" s="1"/>
      <c r="H662" s="1"/>
      <c r="I662" s="1"/>
    </row>
    <row r="663" ht="12.75">
      <c r="A663" s="1"/>
      <c r="B663" s="1"/>
      <c r="C663" s="7"/>
      <c r="D663" s="1"/>
      <c r="E663" s="1"/>
      <c r="F663" s="6"/>
      <c r="G663" s="1"/>
      <c r="H663" s="1"/>
      <c r="I663" s="1"/>
    </row>
    <row r="664" ht="12.75">
      <c r="A664" s="1"/>
      <c r="B664" s="1"/>
      <c r="C664" s="7"/>
      <c r="D664" s="1"/>
      <c r="E664" s="1"/>
      <c r="F664" s="6"/>
      <c r="G664" s="1"/>
      <c r="H664" s="1"/>
      <c r="I664" s="1"/>
    </row>
    <row r="665" ht="12.75">
      <c r="A665" s="1"/>
      <c r="B665" s="1"/>
      <c r="C665" s="7"/>
      <c r="D665" s="1"/>
      <c r="E665" s="1"/>
      <c r="F665" s="6"/>
      <c r="G665" s="1"/>
      <c r="H665" s="1"/>
      <c r="I665" s="1"/>
    </row>
    <row r="666" ht="12.75">
      <c r="A666" s="1"/>
      <c r="B666" s="1"/>
      <c r="C666" s="7"/>
      <c r="D666" s="1"/>
      <c r="E666" s="1"/>
      <c r="F666" s="6"/>
      <c r="G666" s="1"/>
      <c r="H666" s="1"/>
      <c r="I666" s="1"/>
    </row>
    <row r="667" ht="12.75">
      <c r="A667" s="1"/>
      <c r="B667" s="1"/>
      <c r="C667" s="7"/>
      <c r="D667" s="1"/>
      <c r="E667" s="1"/>
      <c r="F667" s="6"/>
      <c r="G667" s="1"/>
      <c r="H667" s="1"/>
      <c r="I667" s="1"/>
    </row>
    <row r="668" ht="12.75">
      <c r="A668" s="1"/>
      <c r="B668" s="1"/>
      <c r="C668" s="7"/>
      <c r="D668" s="1"/>
      <c r="E668" s="1"/>
      <c r="F668" s="6"/>
      <c r="G668" s="1"/>
      <c r="H668" s="1"/>
      <c r="I668" s="1"/>
    </row>
    <row r="669" ht="12.75">
      <c r="A669" s="1"/>
      <c r="B669" s="1"/>
      <c r="C669" s="7"/>
      <c r="D669" s="1"/>
      <c r="E669" s="1"/>
      <c r="F669" s="6"/>
      <c r="G669" s="1"/>
      <c r="H669" s="1"/>
      <c r="I669" s="1"/>
    </row>
    <row r="670" ht="12.75">
      <c r="A670" s="1"/>
      <c r="B670" s="1"/>
      <c r="C670" s="7"/>
      <c r="D670" s="1"/>
      <c r="E670" s="1"/>
      <c r="F670" s="6"/>
      <c r="G670" s="1"/>
      <c r="H670" s="1"/>
      <c r="I670" s="1"/>
    </row>
    <row r="671" ht="12.75">
      <c r="A671" s="1"/>
      <c r="B671" s="1"/>
      <c r="C671" s="7"/>
      <c r="D671" s="1"/>
      <c r="E671" s="1"/>
      <c r="F671" s="6"/>
      <c r="G671" s="1"/>
      <c r="H671" s="1"/>
      <c r="I671" s="1"/>
    </row>
    <row r="672" ht="12.75">
      <c r="A672" s="1"/>
      <c r="B672" s="1"/>
      <c r="C672" s="7"/>
      <c r="D672" s="1"/>
      <c r="E672" s="1"/>
      <c r="F672" s="6"/>
      <c r="G672" s="1"/>
      <c r="H672" s="1"/>
      <c r="I672" s="1"/>
    </row>
    <row r="673" ht="12.75">
      <c r="A673" s="1"/>
      <c r="B673" s="1"/>
      <c r="C673" s="7"/>
      <c r="D673" s="1"/>
      <c r="E673" s="1"/>
      <c r="F673" s="6"/>
      <c r="G673" s="1"/>
      <c r="H673" s="1"/>
      <c r="I673" s="1"/>
    </row>
    <row r="674" ht="12.75">
      <c r="A674" s="1"/>
      <c r="B674" s="1"/>
      <c r="C674" s="7"/>
      <c r="D674" s="1"/>
      <c r="E674" s="1"/>
      <c r="F674" s="6"/>
      <c r="G674" s="1"/>
      <c r="H674" s="1"/>
      <c r="I674" s="1"/>
    </row>
    <row r="675" ht="12.75">
      <c r="A675" s="1"/>
      <c r="B675" s="1"/>
      <c r="C675" s="7"/>
      <c r="D675" s="1"/>
      <c r="E675" s="1"/>
      <c r="F675" s="6"/>
      <c r="G675" s="1"/>
      <c r="H675" s="1"/>
      <c r="I675" s="1"/>
    </row>
    <row r="676" ht="12.75">
      <c r="A676" s="1"/>
      <c r="B676" s="1"/>
      <c r="C676" s="7"/>
      <c r="D676" s="1"/>
      <c r="E676" s="1"/>
      <c r="F676" s="6"/>
      <c r="G676" s="1"/>
      <c r="H676" s="1"/>
      <c r="I676" s="1"/>
    </row>
    <row r="677" ht="12.75">
      <c r="A677" s="1"/>
      <c r="B677" s="1"/>
      <c r="C677" s="7"/>
      <c r="D677" s="1"/>
      <c r="E677" s="1"/>
      <c r="F677" s="6"/>
      <c r="G677" s="1"/>
      <c r="H677" s="1"/>
      <c r="I677" s="1"/>
    </row>
    <row r="678" ht="12.75">
      <c r="A678" s="1"/>
      <c r="B678" s="1"/>
      <c r="C678" s="7"/>
      <c r="D678" s="1"/>
      <c r="E678" s="1"/>
      <c r="F678" s="6"/>
      <c r="G678" s="1"/>
      <c r="H678" s="1"/>
      <c r="I678" s="1"/>
    </row>
    <row r="679" ht="12.75">
      <c r="A679" s="1"/>
      <c r="B679" s="1"/>
      <c r="C679" s="7"/>
      <c r="D679" s="1"/>
      <c r="E679" s="1"/>
      <c r="F679" s="6"/>
      <c r="G679" s="1"/>
      <c r="H679" s="1"/>
      <c r="I679" s="1"/>
    </row>
    <row r="680" ht="12.75">
      <c r="A680" s="1"/>
      <c r="B680" s="1"/>
      <c r="C680" s="7"/>
      <c r="D680" s="1"/>
      <c r="E680" s="1"/>
      <c r="F680" s="6"/>
      <c r="G680" s="1"/>
      <c r="H680" s="1"/>
      <c r="I680" s="1"/>
    </row>
    <row r="681" ht="12.75">
      <c r="A681" s="1"/>
      <c r="B681" s="1"/>
      <c r="C681" s="7"/>
      <c r="D681" s="1"/>
      <c r="E681" s="1"/>
      <c r="F681" s="6"/>
      <c r="G681" s="1"/>
      <c r="H681" s="1"/>
      <c r="I681" s="1"/>
    </row>
    <row r="682" ht="12.75">
      <c r="A682" s="1"/>
      <c r="B682" s="1"/>
      <c r="C682" s="7"/>
      <c r="D682" s="1"/>
      <c r="E682" s="1"/>
      <c r="F682" s="6"/>
      <c r="G682" s="1"/>
      <c r="H682" s="1"/>
      <c r="I682" s="1"/>
    </row>
    <row r="683" ht="12.75">
      <c r="A683" s="1"/>
      <c r="B683" s="1"/>
      <c r="C683" s="7"/>
      <c r="D683" s="1"/>
      <c r="E683" s="1"/>
      <c r="F683" s="6"/>
      <c r="G683" s="1"/>
      <c r="H683" s="1"/>
      <c r="I683" s="1"/>
    </row>
    <row r="684" ht="12.75">
      <c r="A684" s="1"/>
      <c r="B684" s="1"/>
      <c r="C684" s="7"/>
      <c r="D684" s="1"/>
      <c r="E684" s="1"/>
      <c r="F684" s="6"/>
      <c r="G684" s="1"/>
      <c r="H684" s="1"/>
      <c r="I684" s="1"/>
    </row>
    <row r="685" ht="12.75">
      <c r="A685" s="1"/>
      <c r="B685" s="1"/>
      <c r="C685" s="7"/>
      <c r="D685" s="1"/>
      <c r="E685" s="1"/>
      <c r="F685" s="6"/>
      <c r="G685" s="1"/>
      <c r="H685" s="1"/>
      <c r="I685" s="1"/>
    </row>
    <row r="686" ht="12.75">
      <c r="A686" s="1"/>
      <c r="B686" s="1"/>
      <c r="C686" s="7"/>
      <c r="D686" s="1"/>
      <c r="E686" s="1"/>
      <c r="F686" s="6"/>
      <c r="G686" s="1"/>
      <c r="H686" s="1"/>
      <c r="I686" s="1"/>
    </row>
    <row r="687" ht="12.75">
      <c r="A687" s="1"/>
      <c r="B687" s="1"/>
      <c r="C687" s="7"/>
      <c r="D687" s="1"/>
      <c r="E687" s="1"/>
      <c r="F687" s="6"/>
      <c r="G687" s="1"/>
      <c r="H687" s="1"/>
      <c r="I687" s="1"/>
    </row>
    <row r="688" ht="12.75">
      <c r="A688" s="1"/>
      <c r="B688" s="1"/>
      <c r="C688" s="7"/>
      <c r="D688" s="1"/>
      <c r="E688" s="1"/>
      <c r="F688" s="6"/>
      <c r="G688" s="1"/>
      <c r="H688" s="1"/>
      <c r="I688" s="1"/>
    </row>
    <row r="689" ht="12.75">
      <c r="A689" s="1"/>
      <c r="B689" s="1"/>
      <c r="C689" s="7"/>
      <c r="D689" s="1"/>
      <c r="E689" s="1"/>
      <c r="F689" s="6"/>
      <c r="G689" s="1"/>
      <c r="H689" s="1"/>
      <c r="I689" s="1"/>
    </row>
    <row r="690" ht="12.75">
      <c r="A690" s="1"/>
      <c r="B690" s="1"/>
      <c r="C690" s="7"/>
      <c r="D690" s="1"/>
      <c r="E690" s="1"/>
      <c r="F690" s="6"/>
      <c r="G690" s="1"/>
      <c r="H690" s="1"/>
      <c r="I690" s="1"/>
    </row>
    <row r="691" ht="12.75">
      <c r="A691" s="1"/>
      <c r="B691" s="1"/>
      <c r="C691" s="7"/>
      <c r="D691" s="1"/>
      <c r="E691" s="1"/>
      <c r="F691" s="6"/>
      <c r="G691" s="1"/>
      <c r="H691" s="1"/>
      <c r="I691" s="1"/>
    </row>
    <row r="692" ht="12.75">
      <c r="A692" s="1"/>
      <c r="B692" s="1"/>
      <c r="C692" s="7"/>
      <c r="D692" s="1"/>
      <c r="E692" s="1"/>
      <c r="F692" s="6"/>
      <c r="G692" s="1"/>
      <c r="H692" s="1"/>
      <c r="I692" s="1"/>
    </row>
    <row r="693" ht="12.75">
      <c r="A693" s="1"/>
      <c r="B693" s="1"/>
      <c r="C693" s="7"/>
      <c r="D693" s="1"/>
      <c r="E693" s="1"/>
      <c r="F693" s="6"/>
      <c r="G693" s="1"/>
      <c r="H693" s="1"/>
      <c r="I693" s="1"/>
    </row>
    <row r="694" ht="12.75">
      <c r="A694" s="1"/>
      <c r="B694" s="1"/>
      <c r="C694" s="7"/>
      <c r="D694" s="1"/>
      <c r="E694" s="1"/>
      <c r="F694" s="6"/>
      <c r="G694" s="1"/>
      <c r="H694" s="1"/>
      <c r="I694" s="1"/>
    </row>
    <row r="695" ht="12.75">
      <c r="A695" s="1"/>
      <c r="B695" s="1"/>
      <c r="C695" s="7"/>
      <c r="D695" s="1"/>
      <c r="E695" s="1"/>
      <c r="F695" s="6"/>
      <c r="G695" s="1"/>
      <c r="H695" s="1"/>
      <c r="I695" s="1"/>
    </row>
    <row r="696" ht="12.75">
      <c r="A696" s="1"/>
      <c r="B696" s="1"/>
      <c r="C696" s="7"/>
      <c r="D696" s="1"/>
      <c r="E696" s="1"/>
      <c r="F696" s="6"/>
      <c r="G696" s="1"/>
      <c r="H696" s="1"/>
      <c r="I696" s="1"/>
    </row>
    <row r="697" ht="12.75">
      <c r="A697" s="1"/>
      <c r="B697" s="1"/>
      <c r="C697" s="7"/>
      <c r="D697" s="1"/>
      <c r="E697" s="1"/>
      <c r="F697" s="6"/>
      <c r="G697" s="1"/>
      <c r="H697" s="1"/>
      <c r="I697" s="1"/>
    </row>
    <row r="698" ht="12.75">
      <c r="A698" s="1"/>
      <c r="B698" s="1"/>
      <c r="C698" s="7"/>
      <c r="D698" s="1"/>
      <c r="E698" s="1"/>
      <c r="F698" s="6"/>
      <c r="G698" s="1"/>
      <c r="H698" s="1"/>
      <c r="I698" s="1"/>
    </row>
    <row r="699" ht="12.75">
      <c r="A699" s="1"/>
      <c r="B699" s="1"/>
      <c r="C699" s="7"/>
      <c r="D699" s="1"/>
      <c r="E699" s="1"/>
      <c r="F699" s="6"/>
      <c r="G699" s="1"/>
      <c r="H699" s="1"/>
      <c r="I699" s="1"/>
    </row>
    <row r="700" ht="12.75">
      <c r="A700" s="1"/>
      <c r="B700" s="1"/>
      <c r="C700" s="7"/>
      <c r="D700" s="1"/>
      <c r="E700" s="1"/>
      <c r="F700" s="6"/>
      <c r="G700" s="1"/>
      <c r="H700" s="1"/>
      <c r="I700" s="1"/>
    </row>
    <row r="701" ht="12.75">
      <c r="A701" s="1"/>
      <c r="B701" s="1"/>
      <c r="C701" s="7"/>
      <c r="D701" s="1"/>
      <c r="E701" s="1"/>
      <c r="F701" s="6"/>
      <c r="G701" s="1"/>
      <c r="H701" s="1"/>
      <c r="I701" s="1"/>
    </row>
    <row r="702" ht="12.75">
      <c r="A702" s="1"/>
      <c r="B702" s="1"/>
      <c r="C702" s="7"/>
      <c r="D702" s="1"/>
      <c r="E702" s="1"/>
      <c r="F702" s="6"/>
      <c r="G702" s="1"/>
      <c r="H702" s="1"/>
      <c r="I702" s="1"/>
    </row>
    <row r="703" ht="12.75">
      <c r="A703" s="1"/>
      <c r="B703" s="1"/>
      <c r="C703" s="7"/>
      <c r="D703" s="1"/>
      <c r="E703" s="1"/>
      <c r="F703" s="6"/>
      <c r="G703" s="1"/>
      <c r="H703" s="1"/>
      <c r="I703" s="1"/>
    </row>
    <row r="704" ht="12.75">
      <c r="A704" s="1"/>
      <c r="B704" s="1"/>
      <c r="C704" s="7"/>
      <c r="D704" s="1"/>
      <c r="E704" s="1"/>
      <c r="F704" s="6"/>
      <c r="G704" s="1"/>
      <c r="H704" s="1"/>
      <c r="I704" s="1"/>
    </row>
    <row r="705" ht="12.75">
      <c r="A705" s="1"/>
      <c r="B705" s="1"/>
      <c r="C705" s="7"/>
      <c r="D705" s="1"/>
      <c r="E705" s="1"/>
      <c r="F705" s="6"/>
      <c r="G705" s="1"/>
      <c r="H705" s="1"/>
      <c r="I705" s="1"/>
    </row>
    <row r="706" ht="12.75">
      <c r="A706" s="1"/>
      <c r="B706" s="1"/>
      <c r="C706" s="7"/>
      <c r="D706" s="1"/>
      <c r="E706" s="1"/>
      <c r="F706" s="6"/>
      <c r="G706" s="1"/>
      <c r="H706" s="1"/>
      <c r="I706" s="1"/>
    </row>
    <row r="707" ht="12.75">
      <c r="A707" s="1"/>
      <c r="B707" s="1"/>
      <c r="C707" s="7"/>
      <c r="D707" s="1"/>
      <c r="E707" s="1"/>
      <c r="F707" s="6"/>
      <c r="G707" s="1"/>
      <c r="H707" s="1"/>
      <c r="I707" s="1"/>
    </row>
    <row r="708" ht="12.75">
      <c r="A708" s="1"/>
      <c r="B708" s="1"/>
      <c r="C708" s="7"/>
      <c r="D708" s="1"/>
      <c r="E708" s="1"/>
      <c r="F708" s="6"/>
      <c r="G708" s="1"/>
      <c r="H708" s="1"/>
      <c r="I708" s="1"/>
    </row>
    <row r="709" ht="12.75">
      <c r="A709" s="1"/>
      <c r="B709" s="1"/>
      <c r="C709" s="7"/>
      <c r="D709" s="1"/>
      <c r="E709" s="1"/>
      <c r="F709" s="6"/>
      <c r="G709" s="1"/>
      <c r="H709" s="1"/>
      <c r="I709" s="1"/>
    </row>
    <row r="710" ht="12.75">
      <c r="A710" s="1"/>
      <c r="B710" s="1"/>
      <c r="C710" s="7"/>
      <c r="D710" s="1"/>
      <c r="E710" s="1"/>
      <c r="F710" s="6"/>
      <c r="G710" s="1"/>
      <c r="H710" s="1"/>
      <c r="I710" s="1"/>
    </row>
    <row r="711" ht="12.75">
      <c r="A711" s="1"/>
      <c r="B711" s="1"/>
      <c r="C711" s="7"/>
      <c r="D711" s="1"/>
      <c r="E711" s="1"/>
      <c r="F711" s="6"/>
      <c r="G711" s="1"/>
      <c r="H711" s="1"/>
      <c r="I711" s="1"/>
    </row>
    <row r="712" ht="12.75">
      <c r="A712" s="1"/>
      <c r="B712" s="1"/>
      <c r="C712" s="7"/>
      <c r="D712" s="1"/>
      <c r="E712" s="1"/>
      <c r="F712" s="6"/>
      <c r="G712" s="1"/>
      <c r="H712" s="1"/>
      <c r="I712" s="1"/>
    </row>
    <row r="713" ht="12.75">
      <c r="A713" s="1"/>
      <c r="B713" s="1"/>
      <c r="C713" s="7"/>
      <c r="D713" s="1"/>
      <c r="E713" s="1"/>
      <c r="F713" s="6"/>
      <c r="G713" s="1"/>
      <c r="H713" s="1"/>
      <c r="I713" s="1"/>
    </row>
    <row r="714" ht="12.75">
      <c r="A714" s="1"/>
      <c r="B714" s="1"/>
      <c r="C714" s="7"/>
      <c r="D714" s="1"/>
      <c r="E714" s="1"/>
      <c r="F714" s="6"/>
      <c r="G714" s="1"/>
      <c r="H714" s="1"/>
      <c r="I714" s="1"/>
    </row>
    <row r="715" ht="12.75">
      <c r="A715" s="1"/>
      <c r="B715" s="1"/>
      <c r="C715" s="7"/>
      <c r="D715" s="1"/>
      <c r="E715" s="1"/>
      <c r="F715" s="6"/>
      <c r="G715" s="1"/>
      <c r="H715" s="1"/>
      <c r="I715" s="1"/>
    </row>
    <row r="716" ht="12.75">
      <c r="A716" s="1"/>
      <c r="B716" s="1"/>
      <c r="C716" s="7"/>
      <c r="D716" s="1"/>
      <c r="E716" s="1"/>
      <c r="F716" s="6"/>
      <c r="G716" s="1"/>
      <c r="H716" s="1"/>
      <c r="I716" s="1"/>
    </row>
    <row r="717" ht="12.75">
      <c r="A717" s="1"/>
      <c r="B717" s="1"/>
      <c r="C717" s="7"/>
      <c r="D717" s="1"/>
      <c r="E717" s="1"/>
      <c r="F717" s="6"/>
      <c r="G717" s="1"/>
      <c r="H717" s="1"/>
      <c r="I717" s="1"/>
    </row>
    <row r="718" ht="12.75">
      <c r="A718" s="1"/>
      <c r="B718" s="1"/>
      <c r="C718" s="7"/>
      <c r="D718" s="1"/>
      <c r="E718" s="1"/>
      <c r="F718" s="6"/>
      <c r="G718" s="1"/>
      <c r="H718" s="1"/>
      <c r="I718" s="1"/>
    </row>
    <row r="719" ht="12.75">
      <c r="A719" s="1"/>
      <c r="B719" s="1"/>
      <c r="C719" s="7"/>
      <c r="D719" s="1"/>
      <c r="E719" s="1"/>
      <c r="F719" s="6"/>
      <c r="G719" s="1"/>
      <c r="H719" s="1"/>
      <c r="I719" s="1"/>
    </row>
    <row r="720" ht="12.75">
      <c r="A720" s="1"/>
      <c r="B720" s="1"/>
      <c r="C720" s="7"/>
      <c r="D720" s="1"/>
      <c r="E720" s="1"/>
      <c r="F720" s="6"/>
      <c r="G720" s="1"/>
      <c r="H720" s="1"/>
      <c r="I720" s="1"/>
    </row>
    <row r="721" ht="12.75">
      <c r="A721" s="1"/>
      <c r="B721" s="1"/>
      <c r="C721" s="7"/>
      <c r="D721" s="1"/>
      <c r="E721" s="1"/>
      <c r="F721" s="6"/>
      <c r="G721" s="1"/>
      <c r="H721" s="1"/>
      <c r="I721" s="1"/>
    </row>
    <row r="722" ht="12.75">
      <c r="A722" s="1"/>
      <c r="B722" s="1"/>
      <c r="C722" s="7"/>
      <c r="D722" s="1"/>
      <c r="E722" s="1"/>
      <c r="F722" s="6"/>
      <c r="G722" s="1"/>
      <c r="H722" s="1"/>
      <c r="I722" s="1"/>
    </row>
    <row r="723" ht="12.75">
      <c r="A723" s="1"/>
      <c r="B723" s="1"/>
      <c r="C723" s="7"/>
      <c r="D723" s="1"/>
      <c r="E723" s="1"/>
      <c r="F723" s="6"/>
      <c r="G723" s="1"/>
      <c r="H723" s="1"/>
      <c r="I723" s="1"/>
    </row>
    <row r="724" ht="12.75">
      <c r="A724" s="1"/>
      <c r="B724" s="1"/>
      <c r="C724" s="7"/>
      <c r="D724" s="1"/>
      <c r="E724" s="1"/>
      <c r="F724" s="6"/>
      <c r="G724" s="1"/>
      <c r="H724" s="1"/>
      <c r="I724" s="1"/>
    </row>
    <row r="725" ht="12.75">
      <c r="A725" s="1"/>
      <c r="B725" s="1"/>
      <c r="C725" s="7"/>
      <c r="D725" s="1"/>
      <c r="E725" s="1"/>
      <c r="F725" s="6"/>
      <c r="G725" s="1"/>
      <c r="H725" s="1"/>
      <c r="I725" s="1"/>
    </row>
    <row r="726" ht="12.75">
      <c r="A726" s="1"/>
      <c r="B726" s="1"/>
      <c r="C726" s="7"/>
      <c r="D726" s="1"/>
      <c r="E726" s="1"/>
      <c r="F726" s="6"/>
      <c r="G726" s="1"/>
      <c r="H726" s="1"/>
      <c r="I726" s="1"/>
    </row>
    <row r="727" ht="12.75">
      <c r="A727" s="1"/>
      <c r="B727" s="1"/>
      <c r="C727" s="7"/>
      <c r="D727" s="1"/>
      <c r="E727" s="1"/>
      <c r="F727" s="6"/>
      <c r="G727" s="1"/>
    </row>
    <row r="728" ht="12.75">
      <c r="A728" s="1"/>
      <c r="B728" s="1"/>
      <c r="C728" s="7"/>
      <c r="D728" s="1"/>
      <c r="E728" s="1"/>
      <c r="F728" s="6"/>
      <c r="G728" s="1"/>
    </row>
    <row r="729" ht="12.75">
      <c r="A729" s="1"/>
      <c r="B729" s="1"/>
      <c r="C729" s="7"/>
      <c r="D729" s="1"/>
      <c r="E729" s="1"/>
      <c r="F729" s="6"/>
      <c r="G729" s="1"/>
    </row>
    <row r="730" ht="12.75">
      <c r="A730" s="1"/>
      <c r="B730" s="1"/>
      <c r="C730" s="7"/>
      <c r="D730" s="1"/>
      <c r="E730" s="1"/>
      <c r="F730" s="6"/>
      <c r="G730" s="1"/>
    </row>
    <row r="731" ht="12.75">
      <c r="A731" s="1"/>
      <c r="B731" s="1"/>
      <c r="C731" s="7"/>
      <c r="D731" s="1"/>
      <c r="E731" s="1"/>
      <c r="F731" s="6"/>
      <c r="G731" s="1"/>
    </row>
    <row r="732" ht="12.75">
      <c r="A732" s="1"/>
      <c r="B732" s="1"/>
      <c r="C732" s="7"/>
      <c r="D732" s="1"/>
      <c r="E732" s="1"/>
      <c r="F732" s="6"/>
      <c r="G732" s="1"/>
    </row>
    <row r="733" ht="12.75">
      <c r="A733" s="1"/>
      <c r="B733" s="1"/>
      <c r="C733" s="7"/>
      <c r="D733" s="1"/>
      <c r="E733" s="1"/>
      <c r="F733" s="6"/>
      <c r="G733" s="1"/>
    </row>
    <row r="734" ht="12.75">
      <c r="A734" s="1"/>
      <c r="B734" s="1"/>
      <c r="C734" s="7"/>
      <c r="D734" s="1"/>
      <c r="E734" s="1"/>
      <c r="F734" s="6"/>
      <c r="G734" s="1"/>
    </row>
    <row r="735" ht="12.75">
      <c r="A735" s="1"/>
      <c r="B735" s="1"/>
      <c r="C735" s="7"/>
      <c r="D735" s="1"/>
      <c r="E735" s="1"/>
      <c r="F735" s="6"/>
      <c r="G735" s="1"/>
    </row>
    <row r="736" ht="12.75">
      <c r="A736" s="1"/>
      <c r="B736" s="1"/>
      <c r="C736" s="7"/>
      <c r="D736" s="1"/>
      <c r="E736" s="1"/>
      <c r="F736" s="6"/>
      <c r="G736" s="1"/>
    </row>
    <row r="737" ht="12.75">
      <c r="A737" s="1"/>
      <c r="B737" s="1"/>
      <c r="C737" s="7"/>
      <c r="D737" s="1"/>
      <c r="E737" s="1"/>
      <c r="F737" s="6"/>
      <c r="G737" s="1"/>
    </row>
    <row r="738" ht="12.75">
      <c r="A738" s="1"/>
      <c r="B738" s="1"/>
      <c r="C738" s="7"/>
      <c r="D738" s="1"/>
      <c r="E738" s="1"/>
      <c r="F738" s="6"/>
      <c r="G738" s="1"/>
    </row>
    <row r="739" ht="12.75">
      <c r="A739" s="1"/>
      <c r="B739" s="1"/>
      <c r="C739" s="7"/>
      <c r="D739" s="1"/>
      <c r="E739" s="1"/>
      <c r="F739" s="6"/>
      <c r="G739" s="1"/>
    </row>
    <row r="740" ht="12.75">
      <c r="A740" s="1"/>
      <c r="B740" s="1"/>
      <c r="C740" s="7"/>
      <c r="D740" s="1"/>
      <c r="E740" s="1"/>
      <c r="F740" s="6"/>
      <c r="G740" s="1"/>
    </row>
    <row r="741" ht="12.75">
      <c r="A741" s="1"/>
      <c r="B741" s="1"/>
      <c r="C741" s="7"/>
      <c r="D741" s="1"/>
      <c r="E741" s="1"/>
      <c r="F741" s="6"/>
      <c r="G741" s="1"/>
    </row>
    <row r="742" ht="12.75">
      <c r="A742" s="1"/>
      <c r="B742" s="1"/>
      <c r="C742" s="7"/>
      <c r="D742" s="1"/>
      <c r="E742" s="1"/>
      <c r="F742" s="6"/>
      <c r="G742" s="1"/>
    </row>
    <row r="743" ht="12.75">
      <c r="A743" s="1"/>
      <c r="B743" s="1"/>
      <c r="C743" s="7"/>
      <c r="D743" s="1"/>
      <c r="E743" s="1"/>
      <c r="F743" s="6"/>
      <c r="G743" s="1"/>
    </row>
    <row r="744" ht="12.75">
      <c r="A744" s="1"/>
      <c r="B744" s="1"/>
      <c r="C744" s="7"/>
      <c r="D744" s="1"/>
      <c r="E744" s="1"/>
      <c r="F744" s="6"/>
      <c r="G744" s="1"/>
    </row>
    <row r="745" ht="12.75">
      <c r="A745" s="1"/>
      <c r="B745" s="1"/>
      <c r="C745" s="7"/>
      <c r="D745" s="1"/>
      <c r="E745" s="1"/>
      <c r="F745" s="6"/>
      <c r="G745" s="1"/>
    </row>
    <row r="746" ht="12.75">
      <c r="A746" s="1"/>
      <c r="B746" s="1"/>
      <c r="C746" s="7"/>
      <c r="D746" s="1"/>
      <c r="E746" s="1"/>
      <c r="F746" s="6"/>
      <c r="G746" s="1"/>
    </row>
    <row r="747" ht="12.75">
      <c r="A747" s="1"/>
      <c r="B747" s="1"/>
      <c r="C747" s="7"/>
      <c r="D747" s="1"/>
      <c r="E747" s="1"/>
      <c r="F747" s="6"/>
      <c r="G747" s="1"/>
    </row>
    <row r="748" ht="12.75">
      <c r="A748" s="1"/>
      <c r="B748" s="1"/>
      <c r="C748" s="7"/>
      <c r="D748" s="1"/>
      <c r="E748" s="1"/>
      <c r="F748" s="6"/>
      <c r="G748" s="1"/>
    </row>
    <row r="749" ht="12.75">
      <c r="A749" s="1"/>
      <c r="B749" s="1"/>
      <c r="C749" s="7"/>
      <c r="D749" s="1"/>
      <c r="E749" s="1"/>
      <c r="F749" s="6"/>
      <c r="G749" s="1"/>
    </row>
    <row r="750" ht="12.75">
      <c r="A750" s="1"/>
      <c r="B750" s="1"/>
      <c r="C750" s="7"/>
      <c r="D750" s="1"/>
      <c r="E750" s="1"/>
      <c r="F750" s="6"/>
      <c r="G750" s="1"/>
    </row>
    <row r="751" ht="12.75">
      <c r="A751" s="1"/>
      <c r="B751" s="1"/>
      <c r="C751" s="7"/>
      <c r="D751" s="1"/>
      <c r="E751" s="1"/>
      <c r="F751" s="6"/>
      <c r="G751" s="1"/>
    </row>
    <row r="752" ht="12.75">
      <c r="A752" s="1"/>
      <c r="B752" s="1"/>
      <c r="C752" s="7"/>
      <c r="D752" s="1"/>
      <c r="E752" s="1"/>
      <c r="F752" s="6"/>
      <c r="G752" s="1"/>
    </row>
    <row r="753" ht="12.75">
      <c r="A753" s="1"/>
      <c r="B753" s="1"/>
      <c r="C753" s="7"/>
      <c r="D753" s="1"/>
      <c r="E753" s="1"/>
      <c r="F753" s="6"/>
      <c r="G753" s="1"/>
    </row>
    <row r="754" ht="12.75">
      <c r="A754" s="1"/>
      <c r="B754" s="1"/>
      <c r="C754" s="7"/>
      <c r="D754" s="1"/>
      <c r="E754" s="1"/>
      <c r="F754" s="6"/>
      <c r="G754" s="1"/>
    </row>
    <row r="755" ht="12.75">
      <c r="A755" s="1"/>
      <c r="B755" s="1"/>
      <c r="C755" s="7"/>
      <c r="D755" s="1"/>
      <c r="E755" s="1"/>
      <c r="F755" s="6"/>
      <c r="G755" s="1"/>
    </row>
    <row r="756" ht="12.75">
      <c r="A756" s="1"/>
      <c r="B756" s="1"/>
      <c r="C756" s="7"/>
      <c r="D756" s="1"/>
      <c r="E756" s="1"/>
      <c r="F756" s="6"/>
      <c r="G756" s="1"/>
    </row>
    <row r="757" ht="12.75">
      <c r="A757" s="1"/>
      <c r="B757" s="1"/>
      <c r="C757" s="7"/>
      <c r="D757" s="1"/>
      <c r="E757" s="1"/>
      <c r="F757" s="6"/>
      <c r="G757" s="1"/>
    </row>
    <row r="758" ht="12.75">
      <c r="A758" s="1"/>
      <c r="B758" s="1"/>
      <c r="C758" s="7"/>
      <c r="D758" s="1"/>
      <c r="E758" s="1"/>
      <c r="F758" s="6"/>
      <c r="G758" s="1"/>
    </row>
    <row r="759" ht="12.75">
      <c r="A759" s="1"/>
      <c r="B759" s="1"/>
      <c r="C759" s="7"/>
      <c r="D759" s="1"/>
      <c r="E759" s="1"/>
      <c r="F759" s="6"/>
      <c r="G759" s="1"/>
    </row>
    <row r="760" ht="12.75">
      <c r="A760" s="1"/>
      <c r="B760" s="1"/>
      <c r="C760" s="7"/>
      <c r="D760" s="1"/>
      <c r="E760" s="1"/>
      <c r="F760" s="6"/>
      <c r="G760" s="1"/>
    </row>
    <row r="761" ht="12.75">
      <c r="A761" s="1"/>
      <c r="B761" s="1"/>
      <c r="C761" s="7"/>
      <c r="D761" s="1"/>
      <c r="E761" s="1"/>
      <c r="F761" s="6"/>
      <c r="G761" s="1"/>
    </row>
    <row r="762" ht="12.75">
      <c r="A762" s="1"/>
      <c r="B762" s="1"/>
      <c r="C762" s="7"/>
      <c r="D762" s="1"/>
      <c r="E762" s="1"/>
      <c r="F762" s="6"/>
      <c r="G762" s="1"/>
    </row>
    <row r="763" ht="12.75">
      <c r="A763" s="1"/>
      <c r="B763" s="1"/>
      <c r="C763" s="7"/>
      <c r="D763" s="1"/>
      <c r="E763" s="1"/>
      <c r="F763" s="6"/>
      <c r="G763" s="1"/>
    </row>
    <row r="764" ht="12.75">
      <c r="A764" s="1"/>
      <c r="B764" s="1"/>
      <c r="C764" s="7"/>
      <c r="D764" s="1"/>
      <c r="E764" s="1"/>
      <c r="F764" s="6"/>
      <c r="G764" s="1"/>
    </row>
    <row r="765" ht="12.75">
      <c r="A765" s="1"/>
      <c r="B765" s="1"/>
      <c r="C765" s="7"/>
      <c r="D765" s="1"/>
      <c r="E765" s="1"/>
      <c r="F765" s="6"/>
      <c r="G765" s="1"/>
    </row>
    <row r="766" ht="12.75">
      <c r="A766" s="1"/>
      <c r="B766" s="1"/>
      <c r="C766" s="7"/>
      <c r="D766" s="1"/>
      <c r="E766" s="1"/>
      <c r="F766" s="6"/>
      <c r="G766" s="1"/>
    </row>
    <row r="767" ht="12.75">
      <c r="A767" s="1"/>
      <c r="B767" s="1"/>
      <c r="C767" s="7"/>
      <c r="D767" s="1"/>
      <c r="E767" s="1"/>
      <c r="F767" s="6"/>
      <c r="G767" s="1"/>
    </row>
    <row r="768" ht="12.75">
      <c r="A768" s="1"/>
      <c r="B768" s="1"/>
      <c r="C768" s="7"/>
      <c r="D768" s="1"/>
      <c r="E768" s="1"/>
      <c r="F768" s="6"/>
      <c r="G768" s="1"/>
    </row>
    <row r="769" ht="12.75">
      <c r="A769" s="1"/>
      <c r="B769" s="1"/>
      <c r="C769" s="7"/>
      <c r="D769" s="1"/>
      <c r="E769" s="1"/>
      <c r="F769" s="6"/>
      <c r="G769" s="1"/>
    </row>
    <row r="770" ht="12.75">
      <c r="A770" s="1"/>
      <c r="B770" s="1"/>
      <c r="C770" s="7"/>
      <c r="D770" s="1"/>
      <c r="E770" s="1"/>
      <c r="F770" s="6"/>
      <c r="G770" s="1"/>
    </row>
    <row r="771" ht="12.75">
      <c r="A771" s="1"/>
      <c r="B771" s="1"/>
      <c r="C771" s="7"/>
      <c r="D771" s="1"/>
      <c r="E771" s="1"/>
      <c r="F771" s="6"/>
      <c r="G771" s="1"/>
    </row>
    <row r="772" ht="12.75">
      <c r="A772" s="1"/>
      <c r="B772" s="1"/>
      <c r="C772" s="7"/>
      <c r="D772" s="1"/>
      <c r="E772" s="1"/>
      <c r="F772" s="6"/>
      <c r="G772" s="1"/>
    </row>
    <row r="773" ht="12.75">
      <c r="A773" s="1"/>
      <c r="B773" s="1"/>
      <c r="C773" s="7"/>
      <c r="D773" s="1"/>
      <c r="E773" s="1"/>
      <c r="F773" s="6"/>
      <c r="G773" s="1"/>
    </row>
    <row r="774" ht="12.75">
      <c r="A774" s="1"/>
      <c r="B774" s="1"/>
      <c r="C774" s="7"/>
      <c r="D774" s="1"/>
      <c r="E774" s="1"/>
      <c r="F774" s="6"/>
      <c r="G774" s="1"/>
    </row>
    <row r="775" ht="12.75">
      <c r="A775" s="1"/>
      <c r="B775" s="1"/>
      <c r="C775" s="7"/>
      <c r="D775" s="1"/>
      <c r="E775" s="1"/>
      <c r="F775" s="6"/>
      <c r="G775" s="1"/>
    </row>
  </sheetData>
  <autoFilter ref="A1:F775"/>
  <printOptions headings="1" gridLines="0"/>
  <pageMargins left="0.5" right="0.5" top="0.5" bottom="0.5" header="0" footer="0"/>
  <pageSetup paperSize="9" scale="42" fitToWidth="1" fitToHeight="0" pageOrder="downThenOver" orientation="landscape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5" operator="notEqual" id="{00E30075-00E0-4817-A9F1-0076008C009E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E496</xm:sqref>
        </x14:conditionalFormatting>
        <x14:conditionalFormatting xmlns:xm="http://schemas.microsoft.com/office/excel/2006/main">
          <x14:cfRule type="cellIs" priority="40" operator="notEqual" id="{00C8008D-0031-4487-8B51-007900170017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E415</xm:sqref>
        </x14:conditionalFormatting>
        <x14:conditionalFormatting xmlns:xm="http://schemas.microsoft.com/office/excel/2006/main">
          <x14:cfRule type="cellIs" priority="40" operator="notEqual" id="{009100A1-00BE-40F0-B3FF-00A600EF00FA}">
            <xm:f>#REF!</xm:f>
            <x14:dxf>
              <fill>
                <patternFill patternType="solid">
                  <fgColor indexed="5"/>
                  <bgColor indexed="5"/>
                </patternFill>
              </fill>
            </x14:dxf>
          </x14:cfRule>
          <xm:sqref>E449:E455 E417:E661</xm:sqref>
        </x14:conditionalFormatting>
        <x14:conditionalFormatting xmlns:xm="http://schemas.microsoft.com/office/excel/2006/main">
          <x14:cfRule type="expression" priority="1" id="{005D00F7-00EE-47BF-94B6-00750000002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A2:F414 A415:B775 D415:D775 F662:F775 A776:F9934</xm:sqref>
        </x14:conditionalFormatting>
        <x14:conditionalFormatting xmlns:xm="http://schemas.microsoft.com/office/excel/2006/main">
          <x14:cfRule type="expression" priority="1" id="{00640074-006B-464D-B215-00F6006D007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</xm:sqref>
        </x14:conditionalFormatting>
        <x14:conditionalFormatting xmlns:xm="http://schemas.microsoft.com/office/excel/2006/main">
          <x14:cfRule type="expression" priority="1" id="{001900D1-002B-481E-BAD6-009E00ED008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F414</xm:sqref>
        </x14:conditionalFormatting>
        <x14:conditionalFormatting xmlns:xm="http://schemas.microsoft.com/office/excel/2006/main">
          <x14:cfRule type="expression" priority="1" id="{0063009C-00AC-4736-BAF7-000A0078001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A461:B461</xm:sqref>
        </x14:conditionalFormatting>
        <x14:conditionalFormatting xmlns:xm="http://schemas.microsoft.com/office/excel/2006/main">
          <x14:cfRule type="expression" priority="1" id="{007A00C9-0090-4E00-AB9E-0099001200A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A489:B489</xm:sqref>
        </x14:conditionalFormatting>
        <x14:conditionalFormatting xmlns:xm="http://schemas.microsoft.com/office/excel/2006/main">
          <x14:cfRule type="expression" priority="1" id="{00AC00AE-007F-432A-9A61-000B00BF00F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A495:B495</xm:sqref>
        </x14:conditionalFormatting>
        <x14:conditionalFormatting xmlns:xm="http://schemas.microsoft.com/office/excel/2006/main">
          <x14:cfRule type="expression" priority="1" id="{009300A4-0086-4A78-BBED-00B5004C006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070098-003A-4E5B-8B15-009E00AF00F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BF00C6-003C-4EC2-92AC-00730031004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A509:B509</xm:sqref>
        </x14:conditionalFormatting>
        <x14:conditionalFormatting xmlns:xm="http://schemas.microsoft.com/office/excel/2006/main">
          <x14:cfRule type="expression" priority="1" id="{00BE00D1-00B8-4951-BD25-000A00D100F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A525:B525</xm:sqref>
        </x14:conditionalFormatting>
        <x14:conditionalFormatting xmlns:xm="http://schemas.microsoft.com/office/excel/2006/main">
          <x14:cfRule type="expression" priority="1" id="{000B0010-00EE-490C-A74B-00490086000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A525:B525</xm:sqref>
        </x14:conditionalFormatting>
        <x14:conditionalFormatting xmlns:xm="http://schemas.microsoft.com/office/excel/2006/main">
          <x14:cfRule type="expression" priority="1" id="{003500FF-00D8-43E8-A8F6-004000AE009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A9008B-0048-4FAE-A101-00810072000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520028-009F-474D-858A-00CE0095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FD003D-00DF-4D60-A5D1-00CF0072002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5E00AB-00F4-4455-BDEF-00F5007D008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A535:B535</xm:sqref>
        </x14:conditionalFormatting>
        <x14:conditionalFormatting xmlns:xm="http://schemas.microsoft.com/office/excel/2006/main">
          <x14:cfRule type="expression" priority="1" id="{008E00BF-00B5-4474-9BA8-002A002C006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5200EA-0021-4A2D-9241-00F8008D004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2600F0-00C1-4F99-B4D7-008400B9009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4000F2-0047-41D9-B289-009C00E5003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1B0076-0015-49D1-A1A4-0056001C007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230022-009C-4490-A44F-00B2006F00A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A60015-0006-4768-8444-001600A6005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A548:B548</xm:sqref>
        </x14:conditionalFormatting>
        <x14:conditionalFormatting xmlns:xm="http://schemas.microsoft.com/office/excel/2006/main">
          <x14:cfRule type="expression" priority="1" id="{006D0005-002C-4DF9-BCC7-003A00B200E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A554:B554</xm:sqref>
        </x14:conditionalFormatting>
        <x14:conditionalFormatting xmlns:xm="http://schemas.microsoft.com/office/excel/2006/main">
          <x14:cfRule type="expression" priority="1" id="{00120034-00CC-4670-99F3-0056005B004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A554:B554</xm:sqref>
        </x14:conditionalFormatting>
        <x14:conditionalFormatting xmlns:xm="http://schemas.microsoft.com/office/excel/2006/main">
          <x14:cfRule type="expression" priority="1" id="{00D900EE-0004-4E83-88EA-00E200E6003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A554:B554</xm:sqref>
        </x14:conditionalFormatting>
        <x14:conditionalFormatting xmlns:xm="http://schemas.microsoft.com/office/excel/2006/main">
          <x14:cfRule type="expression" priority="1" id="{00F500B9-00DD-460A-B6A9-00C8000400A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A554:B554</xm:sqref>
        </x14:conditionalFormatting>
        <x14:conditionalFormatting xmlns:xm="http://schemas.microsoft.com/office/excel/2006/main">
          <x14:cfRule type="expression" priority="1" id="{006700F6-00BF-411F-8D24-00BA00F3008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A561:B561</xm:sqref>
        </x14:conditionalFormatting>
        <x14:conditionalFormatting xmlns:xm="http://schemas.microsoft.com/office/excel/2006/main">
          <x14:cfRule type="expression" priority="1" id="{0054009C-00B4-4B19-AA2B-0080004C001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A561:B561</xm:sqref>
        </x14:conditionalFormatting>
        <x14:conditionalFormatting xmlns:xm="http://schemas.microsoft.com/office/excel/2006/main">
          <x14:cfRule type="expression" priority="1" id="{002D00F6-000E-4982-B597-0020007E009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A561:B561</xm:sqref>
        </x14:conditionalFormatting>
        <x14:conditionalFormatting xmlns:xm="http://schemas.microsoft.com/office/excel/2006/main">
          <x14:cfRule type="expression" priority="1" id="{002B0013-00F8-4D9C-99E9-003F00BE001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A561:B561</xm:sqref>
        </x14:conditionalFormatting>
        <x14:conditionalFormatting xmlns:xm="http://schemas.microsoft.com/office/excel/2006/main">
          <x14:cfRule type="expression" priority="1" id="{00A60071-00AB-468C-ADBB-00B400CD00E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400065-00CC-48A5-B573-003000F100F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A600FA-0054-4093-867A-005D0085004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1E00DA-00D7-4432-A025-00C4003A001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3100D6-009A-4739-8BE0-0028008E00A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1D0071-00A6-4FD2-AEBD-00410006008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350065-00E5-4122-8E07-00EB00CE002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A40070-00BD-4400-9990-00E30029001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BE00B6-00AA-4E32-B6C2-00D40098004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A569:B569</xm:sqref>
        </x14:conditionalFormatting>
        <x14:conditionalFormatting xmlns:xm="http://schemas.microsoft.com/office/excel/2006/main">
          <x14:cfRule type="expression" priority="1" id="{00CA00A0-0060-489E-91E3-00EF00F800B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A579:B579</xm:sqref>
        </x14:conditionalFormatting>
        <x14:conditionalFormatting xmlns:xm="http://schemas.microsoft.com/office/excel/2006/main">
          <x14:cfRule type="expression" priority="1" id="{00900086-00EE-4B71-BEF0-0089008B002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A579:B579</xm:sqref>
        </x14:conditionalFormatting>
        <x14:conditionalFormatting xmlns:xm="http://schemas.microsoft.com/office/excel/2006/main">
          <x14:cfRule type="expression" priority="1" id="{007300BD-0052-4E27-AB61-00E20069001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A579:B579</xm:sqref>
        </x14:conditionalFormatting>
        <x14:conditionalFormatting xmlns:xm="http://schemas.microsoft.com/office/excel/2006/main">
          <x14:cfRule type="expression" priority="1" id="{00EC00DB-00AF-473C-90D4-00F8009100E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A579:B579</xm:sqref>
        </x14:conditionalFormatting>
        <x14:conditionalFormatting xmlns:xm="http://schemas.microsoft.com/office/excel/2006/main">
          <x14:cfRule type="expression" priority="1" id="{0059000F-0010-482A-AD85-006F00CA00A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A579:B579</xm:sqref>
        </x14:conditionalFormatting>
        <x14:conditionalFormatting xmlns:xm="http://schemas.microsoft.com/office/excel/2006/main">
          <x14:cfRule type="expression" priority="1" id="{009F009D-0030-4887-901F-00AA0098009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BD0033-0074-44D2-BCD6-00B7007F009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82002E-00B6-4CDB-B306-00DA002C000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490004-00D7-48AE-A307-00C7009E008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770095-00F3-4FDE-8F94-005600AE006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C70001-006B-4BC1-B79A-0038004D007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1200F4-0038-4192-B1E1-000900DC009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0200CD-00C1-4693-8BEF-00BD00BC00D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8900C5-008E-4016-89F9-00F90023006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000064-00CF-4F68-BC8C-00CD00FD00D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7C004F-0067-40A6-8AF6-0072006E00A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A588:B588</xm:sqref>
        </x14:conditionalFormatting>
        <x14:conditionalFormatting xmlns:xm="http://schemas.microsoft.com/office/excel/2006/main">
          <x14:cfRule type="expression" priority="1" id="{003E00B8-00CD-4BCE-8D45-0000000D002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1B0090-0050-4C40-98AC-008B00B100F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D800B6-001D-4A2D-BB1A-00B8005E004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B200AD-0064-418F-8A10-00150028008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6B007E-0021-4D7A-899B-006800AD007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A7002E-0003-4B5A-8CF3-0073000900D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A596:B596</xm:sqref>
        </x14:conditionalFormatting>
        <x14:conditionalFormatting xmlns:xm="http://schemas.microsoft.com/office/excel/2006/main">
          <x14:cfRule type="expression" priority="1" id="{008E0066-0013-4103-84AE-005D00E6006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51007E-006C-47E0-90B1-00BF007B003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DA00FF-000F-4A07-BB98-009100E6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D7001A-001A-4576-ABD3-00EC0072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C70093-00CC-4C8B-A335-00660078000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D80079-0011-4FBF-8EC2-00930052004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3300D9-006C-441A-B21B-006C000B00F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E1002C-00C1-41E0-BD7F-00A600C500D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A6008C-0078-425E-9EC9-00E50092003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270062-0048-4930-9954-00CE001F00C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1900A1-00FF-443B-A1E8-002600CF005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410086-009A-4408-90D5-006E004700C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AF0031-0092-49E4-82BD-0006006B002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A609:B609</xm:sqref>
        </x14:conditionalFormatting>
        <x14:conditionalFormatting xmlns:xm="http://schemas.microsoft.com/office/excel/2006/main">
          <x14:cfRule type="expression" priority="1" id="{009A0008-009B-4F47-B696-003900FF00B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F300BF-00A9-432E-8813-0008002F006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F3003A-001E-4DC7-83E6-0098002D00F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83001D-00AE-46D2-9CCB-007D0040008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5C0090-006D-44F1-B105-0064005600A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3100BE-00C0-4F41-8CB5-00010098009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FF00A7-0065-4175-9E8F-002A005600E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8100FB-008A-4ED3-8AFF-006D002500A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69002D-0007-4ACD-B0F1-0077006000E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DD0011-00F1-4BEF-A726-0033002F009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4600BC-0039-46A1-9208-0091003C004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9300B3-00BA-40B3-8426-00BE0029005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D00050-0092-4031-A728-0064002A001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BD008D-00C1-4675-A91C-00B0008300C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B600E5-0036-4858-AF34-007A001F00F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A616:B616</xm:sqref>
        </x14:conditionalFormatting>
        <x14:conditionalFormatting xmlns:xm="http://schemas.microsoft.com/office/excel/2006/main">
          <x14:cfRule type="expression" priority="1" id="{007700A5-009A-465D-8CD7-00E700A3005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5C00C5-00AE-479B-B6EE-005E000900C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340064-009A-4F37-AE08-000D0075003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7300C7-00B8-4714-8561-00D300DE00B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0E0030-002A-4249-9896-008500AF005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6F002B-00C9-4C3D-970F-0003008F003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8C00AA-007A-42D3-AF9B-00160038003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9000DF-0065-4835-A876-009E007D005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C2006C-007A-418E-B9DF-00490064001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7700B6-00BC-4538-8A72-0091006F000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9F0054-0096-4A47-B92D-00EC00CC00F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6C00D9-00EB-4F58-8E47-000C00F2001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A500A0-0036-429C-8EDA-00CA0022005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E30055-00A2-4BEE-A068-00EC003100A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EC0055-00FF-41D8-B842-00AB0042006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9C00B6-000D-474C-A625-0034006100F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5D0072-001B-43B7-BE91-007B0081003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A624:B624</xm:sqref>
        </x14:conditionalFormatting>
        <x14:conditionalFormatting xmlns:xm="http://schemas.microsoft.com/office/excel/2006/main">
          <x14:cfRule type="expression" priority="1" id="{006E001E-0091-4600-96C5-003C005E004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A655:B655</xm:sqref>
        </x14:conditionalFormatting>
        <x14:conditionalFormatting xmlns:xm="http://schemas.microsoft.com/office/excel/2006/main">
          <x14:cfRule type="expression" priority="1" id="{00BA0098-0079-42C8-AF77-002400C900D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A655:B655</xm:sqref>
        </x14:conditionalFormatting>
        <x14:conditionalFormatting xmlns:xm="http://schemas.microsoft.com/office/excel/2006/main">
          <x14:cfRule type="expression" priority="1" id="{000A00C3-00BB-46DA-832A-000400CC00D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A655:B655</xm:sqref>
        </x14:conditionalFormatting>
        <x14:conditionalFormatting xmlns:xm="http://schemas.microsoft.com/office/excel/2006/main">
          <x14:cfRule type="expression" priority="1" id="{00A60051-0048-4059-B286-00D6003E003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A655:B655</xm:sqref>
        </x14:conditionalFormatting>
        <x14:conditionalFormatting xmlns:xm="http://schemas.microsoft.com/office/excel/2006/main">
          <x14:cfRule type="expression" priority="1" id="{00F20015-00FF-491E-81E3-00E1008D00A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8C004B-0036-4FB2-8B91-009E003900C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4700E6-0075-400B-8A52-00B20050000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AC00B3-008B-4005-A138-003A00BD00B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5D0029-0067-4B94-B105-00520095001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FF00DE-0039-41FD-B9AC-00EE00C700A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BA00DB-00C2-4206-9934-00DC0091008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BA0031-007A-41A1-9475-00C70016007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8B0001-001A-4BEB-9302-00F10083000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B200DD-00BC-4828-85EE-00DE00EF00E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A665:B665</xm:sqref>
        </x14:conditionalFormatting>
        <x14:conditionalFormatting xmlns:xm="http://schemas.microsoft.com/office/excel/2006/main">
          <x14:cfRule type="expression" priority="1" id="{00FB000E-0022-447C-B015-004600B9004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5F0093-00B1-4D4F-B6BF-008000D5003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7F00AB-0004-4E9E-8AF7-00030084003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9300CD-003B-4346-88D1-005D008900F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6E006C-00F5-4636-B0C4-00E7001400F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D30079-00DB-459E-9D07-004700EC00C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73007D-009E-4780-BF12-00F3007C005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0A0001-005C-4C16-96A3-008E00DB002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A90014-00E7-42DE-87D3-007B00E9007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960044-003C-4C36-9EDF-00C3005B00D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A678:B678</xm:sqref>
        </x14:conditionalFormatting>
        <x14:conditionalFormatting xmlns:xm="http://schemas.microsoft.com/office/excel/2006/main">
          <x14:cfRule type="expression" priority="1" id="{00FE00AB-0011-48D6-BBBD-0094003700B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05000D-006D-4495-8B25-006C003900E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4200DE-00BF-496F-84CD-00AB0088005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9500E7-00F8-43DD-BA53-00B400A1001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790004-0078-498D-81D7-00CD007B003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34004C-0089-43DD-9F02-007C007000B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D200C2-0047-40B7-960C-006900F8001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9F005A-000B-426F-A7D3-0024007600E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50008D-00A9-479F-BEA3-00A50027008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A3002A-00E4-4392-BC36-00970009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C20066-00E6-40DA-B20D-0023009300D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1C006A-00E1-4495-8DF5-0087008A005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A685:B685</xm:sqref>
        </x14:conditionalFormatting>
        <x14:conditionalFormatting xmlns:xm="http://schemas.microsoft.com/office/excel/2006/main">
          <x14:cfRule type="expression" priority="1" id="{00D100F8-00BE-49B8-B2EB-0030000F000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4F00FD-00F2-4F73-83C6-00C8008F00C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630023-0049-4D07-B70A-00E30021008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940085-0099-478C-9E86-002F00AA00D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3B0033-0034-4E73-B0EA-003C00B500A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730086-0092-49ED-8375-009500FB00C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85001E-00F7-4EB2-86A4-00D4006900B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8F00C2-0073-49E6-B267-00EE004D00A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F500D7-0024-4132-8C08-00F100FE002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B20080-00B3-49FE-9835-002C006C001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EC0054-008A-424B-A3FC-006C0054001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DE004D-00DC-4FB5-B56B-001A004200D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A639:B639</xm:sqref>
        </x14:conditionalFormatting>
        <x14:conditionalFormatting xmlns:xm="http://schemas.microsoft.com/office/excel/2006/main">
          <x14:cfRule type="expression" priority="1" id="{00810001-0051-4162-AF4C-007A003E00DA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FD006D-000E-4AE1-A420-008E002E00B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3C0099-0021-4364-9ED8-00CC00DA006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6900F7-0047-458F-B76B-00FA00B3006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7F006A-0077-42C2-9EE8-00750071008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680083-00A8-4406-A840-003A00F800A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D40022-00AE-4371-BA82-00150050008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EA005B-00E4-4264-AE9A-00ED001C006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EC0096-003C-4447-BB85-00D200D0005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FB00A2-00F6-4C79-9725-007200D1003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C8008B-0004-4B66-9A0B-00E100B7004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B3006E-0014-415D-9C3F-00B90079002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B20019-0061-457D-8C76-00CA004100E5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C700A6-008F-4881-885D-00EC008B003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AC0074-000A-4F8B-AD07-007E00870046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270093-009F-4442-9361-0030002E008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F1000F-006D-43BF-B057-0054005E00E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D10041-0042-438B-9834-009C00FC00F8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4D0001-00F2-4DCA-882E-007E00C000C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B0008A-00C1-47D0-92F2-002D0031002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4400CF-001D-464B-8755-000E00DE001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760076-00FF-4FAD-A280-00BE006B0019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0700D6-00CC-4FE6-B2AD-00CB00F400B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E4007F-00F4-41C5-8351-006A000400FE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C40062-0091-4EAA-872D-00C2008D00D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A649:B649</xm:sqref>
        </x14:conditionalFormatting>
        <x14:conditionalFormatting xmlns:xm="http://schemas.microsoft.com/office/excel/2006/main">
          <x14:cfRule type="expression" priority="1" id="{00DF001F-00DE-4220-BDBF-0068002000FC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B500C0-003F-43B7-800C-006900EB00D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F100EC-0003-411E-A159-0084002A004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3B00FE-0072-4E3F-803F-001000AE0090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180092-0004-4945-BCB4-00E40067009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7E005C-0091-4C3B-B07A-00D100FB00E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7300CB-0073-40E3-9106-008700E000BB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E0009D-00AC-484D-A1A6-00AD00DB0022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740070-0026-4C85-9D4B-009300810013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8D00DB-0077-4CD2-8FC2-001B00410021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F700AD-0032-4FD5-A80B-00670062005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19003B-00F6-4706-8672-0059005A000D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160071-00E2-42F4-8A88-007200CE0077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A658:B658</xm:sqref>
        </x14:conditionalFormatting>
        <x14:conditionalFormatting xmlns:xm="http://schemas.microsoft.com/office/excel/2006/main">
          <x14:cfRule type="expression" priority="1" id="{005A0084-004D-4B03-9AF5-0072008C0024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A415:B415</xm:sqref>
        </x14:conditionalFormatting>
        <x14:conditionalFormatting xmlns:xm="http://schemas.microsoft.com/office/excel/2006/main">
          <x14:cfRule type="expression" priority="1" id="{002A007C-0041-441D-BA49-009400EB00AF}">
            <xm:f>MOD($F2,2)=0</xm:f>
            <x14:dxf>
              <fill>
                <patternFill patternType="solid">
                  <fgColor theme="0" tint="-0.14996795556505021"/>
                  <bgColor theme="0" tint="-0.14996795556505021"/>
                </patternFill>
              </fill>
            </x14:dxf>
          </x14:cfRule>
          <xm:sqref>A415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ONLYOFFICE/8.2.2.22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Oksana Podoba</dc:creator>
  <cp:keywords/>
  <dc:description/>
  <cp:revision>8</cp:revision>
  <dcterms:created xsi:type="dcterms:W3CDTF">2022-09-26T16:02:08Z</dcterms:created>
  <dcterms:modified xsi:type="dcterms:W3CDTF">2024-12-22T20:38:29Z</dcterms:modified>
  <cp:category/>
  <cp:contentStatus/>
</cp:coreProperties>
</file>