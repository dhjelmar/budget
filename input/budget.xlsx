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onnections.xml" ContentType="application/vnd.openxmlformats-officedocument.spreadsheetml.connection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3"/>
  </sheets>
  <externalReferences>
    <externalReference r:id="rId1"/>
  </externalReferences>
  <definedNames>
    <definedName name="_xlnm._FilterDatabase" localSheetId="0" hidden="1">Sheet1!$A$1:$F$414</definedName>
    <definedName name="Print_Titles" localSheetId="0">Sheet1!$1:$1</definedName>
    <definedName name="_xlcn.WorksheetConnection_budget_2024.xlsxTable21" hidden="1">'[1]budget 11-01-23'!$A$1:$M$198</definedName>
    <definedName name="_xlcn.WorksheetConnection_budget_2024.xlsxTable31" hidden="1">Table1</definedName>
    <definedName name="_xlnm._FilterDatabase" localSheetId="0" hidden="1">Sheet1!$A$1:$F$414</definedName>
  </definedNames>
  <calcPr/>
  <extLst>
    <ext xmlns:x15="http://schemas.microsoft.com/office/spreadsheetml/2010/11/main" uri="{D0CA8CA8-9F24-4464-BF8E-62219DCF47F9}"/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20502E-5DB4-478A-BC58-A3AF73520BE3}" keepAlive="1" name="ThisWorkbookDataModel" description="Data Model" type="5" background="1" minRefreshableVersion="5" refreshedVersion="8">
    <dbPr connection="Data Model Connection" command="Model" commandType="1"/>
    <olapPr rowDrillCount="1000" sendLocale="1"/>
  </connection>
  <connection id="2" xr16:uid="{FE2DD38A-3F91-47BB-8FD4-88ACDF0CE342}" name="WorksheetConnection_budget_2024.xlsx!Table2" type="102" minRefreshableVersion="5" refreshedVersion="8">
    <extLst>
      <ext xmlns:x15="http://schemas.microsoft.com/office/spreadsheetml/2010/11/main" uri="{DE250136-89BD-433C-8126-D09CA5730AF9}">
        <x15:connection id="Table2">
          <x15:rangePr sourceName="_xlcn.WorksheetConnection_budget_2024.xlsxTable21"/>
        </x15:connection>
      </ext>
    </extLst>
  </connection>
  <connection id="3" xr16:uid="{2202441F-1020-42E7-A9A4-13A4F9EC4EDA}" name="WorksheetConnection_budget_2024.xlsx!Table3" type="102" minRefreshableVersion="5" refreshedVersion="8">
    <extLst>
      <ext xmlns:x15="http://schemas.microsoft.com/office/spreadsheetml/2010/11/main" uri="{DE250136-89BD-433C-8126-D09CA5730AF9}">
        <x15:connection id="Table3">
          <x15:rangePr sourceName="_xlcn.WorksheetConnection_budget_2024.xlsxTable31"/>
        </x15:connection>
      </ext>
    </extLst>
  </connection>
</connections>
</file>

<file path=xl/sharedStrings.xml><?xml version="1.0" encoding="utf-8"?>
<sst xmlns="http://schemas.openxmlformats.org/spreadsheetml/2006/main" count="287" uniqueCount="287">
  <si>
    <t>Year</t>
  </si>
  <si>
    <t>InOrOut</t>
  </si>
  <si>
    <t>Category</t>
  </si>
  <si>
    <t>Account</t>
  </si>
  <si>
    <t>Budget</t>
  </si>
  <si>
    <t>In</t>
  </si>
  <si>
    <t>Contributions</t>
  </si>
  <si>
    <t xml:space="preserve">4001 Classis Assessments</t>
  </si>
  <si>
    <t xml:space="preserve">4010 Current Year Pledges</t>
  </si>
  <si>
    <t xml:space="preserve">4012 Non Pledge Contributions</t>
  </si>
  <si>
    <t xml:space="preserve">4013 Vespers Offering</t>
  </si>
  <si>
    <t xml:space="preserve">4017 Special Offerings</t>
  </si>
  <si>
    <t xml:space="preserve">4021 Charitable Distributions</t>
  </si>
  <si>
    <t xml:space="preserve">4023 Online Giving Contribution</t>
  </si>
  <si>
    <t xml:space="preserve">4025 Concert Series</t>
  </si>
  <si>
    <t>Covenant</t>
  </si>
  <si>
    <t xml:space="preserve">4022 Wednesday Lunch</t>
  </si>
  <si>
    <t xml:space="preserve">4026 Audio/Visual Technology</t>
  </si>
  <si>
    <t xml:space="preserve">4061 McDonald (Covenant)</t>
  </si>
  <si>
    <t xml:space="preserve">4062 Covenant Fund Income</t>
  </si>
  <si>
    <t xml:space="preserve">4063 Covenant Income for M&amp;B</t>
  </si>
  <si>
    <t xml:space="preserve">Investment Income</t>
  </si>
  <si>
    <t xml:space="preserve">4027 Checking Account</t>
  </si>
  <si>
    <t xml:space="preserve">4041 Endowment Income</t>
  </si>
  <si>
    <t xml:space="preserve">4043 Schermerhorn Income</t>
  </si>
  <si>
    <t xml:space="preserve">4044 Birch Income</t>
  </si>
  <si>
    <t xml:space="preserve">4045 UP Mission Fund Income</t>
  </si>
  <si>
    <t xml:space="preserve">4049 Tercentenary Income</t>
  </si>
  <si>
    <t xml:space="preserve">Other income</t>
  </si>
  <si>
    <t xml:space="preserve">4052 Facility Use Income</t>
  </si>
  <si>
    <t xml:space="preserve">4053 Misc Income</t>
  </si>
  <si>
    <t xml:space="preserve">4054 Rental Income</t>
  </si>
  <si>
    <t xml:space="preserve">4055 Flowers income</t>
  </si>
  <si>
    <t xml:space="preserve">4056 Chancel Guild Income/Cook Trust</t>
  </si>
  <si>
    <t xml:space="preserve">xxxx Sr. High Youth mission trip (new)</t>
  </si>
  <si>
    <t>Out</t>
  </si>
  <si>
    <t>Administration</t>
  </si>
  <si>
    <t xml:space="preserve">9005 Computer Maint/Repair/Internet</t>
  </si>
  <si>
    <t xml:space="preserve">9007 Audio Visual Contract Services</t>
  </si>
  <si>
    <t xml:space="preserve">9010 Consistory Expense</t>
  </si>
  <si>
    <t xml:space="preserve">9015 Copier/Cannon rent./Maint.</t>
  </si>
  <si>
    <t xml:space="preserve">9020 Equipment</t>
  </si>
  <si>
    <t xml:space="preserve">9025 Office Supplies</t>
  </si>
  <si>
    <t xml:space="preserve">9030 Other Admin Expense</t>
  </si>
  <si>
    <t xml:space="preserve">9035 Paper</t>
  </si>
  <si>
    <t xml:space="preserve">9040 Postage</t>
  </si>
  <si>
    <t xml:space="preserve">9045 Printing</t>
  </si>
  <si>
    <t xml:space="preserve">9055 Staff Searches</t>
  </si>
  <si>
    <t xml:space="preserve">9060 Telephone &amp; Internet</t>
  </si>
  <si>
    <t xml:space="preserve">9061 Contract Services/Zoom/Google...</t>
  </si>
  <si>
    <t xml:space="preserve">Administration Staff</t>
  </si>
  <si>
    <t xml:space="preserve">5002 FICA Administration</t>
  </si>
  <si>
    <t xml:space="preserve">5003 Wages Administration</t>
  </si>
  <si>
    <t xml:space="preserve">5004 Retirement Administration</t>
  </si>
  <si>
    <t xml:space="preserve">5005 Medical Administration</t>
  </si>
  <si>
    <t xml:space="preserve">5006 Continuing Education</t>
  </si>
  <si>
    <t xml:space="preserve">Adult Ed</t>
  </si>
  <si>
    <t xml:space="preserve">6410 Devotional Literature/Small groups Literature</t>
  </si>
  <si>
    <t xml:space="preserve">6420 Guest Spearkers and Adult Forum</t>
  </si>
  <si>
    <t xml:space="preserve">6430 Lenten Programming</t>
  </si>
  <si>
    <t xml:space="preserve">6440 Resources (Adult Ed.)</t>
  </si>
  <si>
    <t xml:space="preserve">6445 Adult Retreats and Workshops</t>
  </si>
  <si>
    <t xml:space="preserve">6450 Small Groups</t>
  </si>
  <si>
    <t>Archives</t>
  </si>
  <si>
    <t xml:space="preserve">8110 Archives &amp; Restoration</t>
  </si>
  <si>
    <t xml:space="preserve">8111 Four Chaplains(6 people)</t>
  </si>
  <si>
    <t xml:space="preserve">8125 Supplies Archives</t>
  </si>
  <si>
    <t xml:space="preserve">Care &amp; Support</t>
  </si>
  <si>
    <t xml:space="preserve">6505 Honorariums</t>
  </si>
  <si>
    <t xml:space="preserve">6515 Resources Grief Booklets</t>
  </si>
  <si>
    <t xml:space="preserve">6520 Care &amp; Support Materials</t>
  </si>
  <si>
    <t xml:space="preserve">6521 Prayer Shawl</t>
  </si>
  <si>
    <t xml:space="preserve">6522 Flowers Support &amp; Care</t>
  </si>
  <si>
    <t xml:space="preserve">Care &amp; Support Associate Pastor</t>
  </si>
  <si>
    <t xml:space="preserve">5051 Continuing Ed (Assoc Pastor)</t>
  </si>
  <si>
    <t xml:space="preserve">5053 Wages (Assoc Pastor)</t>
  </si>
  <si>
    <t xml:space="preserve">5054 Medical (Assoc Pastor)</t>
  </si>
  <si>
    <t xml:space="preserve">5055 Retirement (Assoc Pastor)</t>
  </si>
  <si>
    <t xml:space="preserve">5056 Social Security Offset (Assoc Pastor)</t>
  </si>
  <si>
    <t xml:space="preserve">5057 Business &amp; Auto (Assoc Pastor)</t>
  </si>
  <si>
    <t xml:space="preserve">5058 Housing Expense (Assoc Pastor)</t>
  </si>
  <si>
    <t xml:space="preserve">5059 Disability/Life (Assoc Pastor)</t>
  </si>
  <si>
    <t>Communications</t>
  </si>
  <si>
    <t xml:space="preserve">9111 Advertising</t>
  </si>
  <si>
    <t xml:space="preserve">9112 Website</t>
  </si>
  <si>
    <t xml:space="preserve">9113 Communication Technology</t>
  </si>
  <si>
    <t xml:space="preserve">9114 Volunteer Needs</t>
  </si>
  <si>
    <t xml:space="preserve">9115 Paper</t>
  </si>
  <si>
    <t xml:space="preserve">9116 Supplies (new)</t>
  </si>
  <si>
    <t xml:space="preserve">Communications Staff</t>
  </si>
  <si>
    <t xml:space="preserve">9121 Wages Communication Specialist</t>
  </si>
  <si>
    <t xml:space="preserve">9122 FICA Communication Specialist</t>
  </si>
  <si>
    <t xml:space="preserve">9123 Retirement Communication Speicalist</t>
  </si>
  <si>
    <t xml:space="preserve">9125 Continuing Education</t>
  </si>
  <si>
    <t xml:space="preserve">Covenant Fund</t>
  </si>
  <si>
    <t xml:space="preserve">6350 Other Covenant Programs</t>
  </si>
  <si>
    <t xml:space="preserve">Covenant Lunn</t>
  </si>
  <si>
    <t xml:space="preserve">6356 Lunn Office</t>
  </si>
  <si>
    <t xml:space="preserve">Creation Care</t>
  </si>
  <si>
    <t xml:space="preserve">6806 Composting</t>
  </si>
  <si>
    <t xml:space="preserve">6807 Supplies</t>
  </si>
  <si>
    <t xml:space="preserve">6808 Recycled Paper</t>
  </si>
  <si>
    <t xml:space="preserve">6809 Media</t>
  </si>
  <si>
    <t>Finance</t>
  </si>
  <si>
    <t xml:space="preserve">8005 Audit and Consulting</t>
  </si>
  <si>
    <t xml:space="preserve">8010 Classis Assessments</t>
  </si>
  <si>
    <t xml:space="preserve">8015 Insurance</t>
  </si>
  <si>
    <t xml:space="preserve">8020 Misc Finance</t>
  </si>
  <si>
    <t xml:space="preserve">8022 Finance Charge Online Giving</t>
  </si>
  <si>
    <t xml:space="preserve">8025 NYS Unemployment Insurance</t>
  </si>
  <si>
    <t xml:space="preserve">8030 Offering Envelopes</t>
  </si>
  <si>
    <t xml:space="preserve">8035 Payroll Processing</t>
  </si>
  <si>
    <t xml:space="preserve">8040 Stewardship</t>
  </si>
  <si>
    <t>Library</t>
  </si>
  <si>
    <t xml:space="preserve">6404 Period./Books/Newsp.for ass. pastor</t>
  </si>
  <si>
    <t xml:space="preserve">6405 Library Books</t>
  </si>
  <si>
    <t xml:space="preserve">6435 Library Periodicals &amp; Fees</t>
  </si>
  <si>
    <t xml:space="preserve">6460 Library Supplies &amp; Equipment</t>
  </si>
  <si>
    <t>M&amp;B</t>
  </si>
  <si>
    <t xml:space="preserve">6303 Undesignated and Emergency</t>
  </si>
  <si>
    <t xml:space="preserve">6305 Education (M&amp;B)</t>
  </si>
  <si>
    <t xml:space="preserve">6310 Local Concerns</t>
  </si>
  <si>
    <t xml:space="preserve">6315 National Oversseas</t>
  </si>
  <si>
    <t xml:space="preserve">6319 Minister Discretionary (Sr Pastor)</t>
  </si>
  <si>
    <t xml:space="preserve">6322 Ministers Discretionary (Assoc. Pastor)</t>
  </si>
  <si>
    <t xml:space="preserve">6323 Albany Synod Programs</t>
  </si>
  <si>
    <t xml:space="preserve">6324 Camp Fowler support (M&amp;B)</t>
  </si>
  <si>
    <t xml:space="preserve">6325 Special Offerings</t>
  </si>
  <si>
    <t xml:space="preserve">M&amp;B (UP Mission)</t>
  </si>
  <si>
    <t xml:space="preserve">6326 UP Mission</t>
  </si>
  <si>
    <t>Membership</t>
  </si>
  <si>
    <t xml:space="preserve">6605 Churchwide Social Events</t>
  </si>
  <si>
    <t xml:space="preserve">6610 Coffee Hour</t>
  </si>
  <si>
    <t xml:space="preserve">6620 Supplies Hospitality</t>
  </si>
  <si>
    <t xml:space="preserve">6705 Membership Committee</t>
  </si>
  <si>
    <t xml:space="preserve">Mission &amp; Volunteer</t>
  </si>
  <si>
    <t xml:space="preserve">6366 Wednesday Lunch</t>
  </si>
  <si>
    <t xml:space="preserve">6367 Mission &amp; Volunteer Expense</t>
  </si>
  <si>
    <t xml:space="preserve">6368 Kitchen supplies(new)</t>
  </si>
  <si>
    <t xml:space="preserve">6369 To Go Containers (new)</t>
  </si>
  <si>
    <t xml:space="preserve">Mission &amp; Volunteer Staff</t>
  </si>
  <si>
    <t xml:space="preserve">6373 Wages Lunch Coordinator</t>
  </si>
  <si>
    <t xml:space="preserve">6374 FICA Lunch Coordinator</t>
  </si>
  <si>
    <t>Property</t>
  </si>
  <si>
    <t xml:space="preserve">7001 Custodian Fee/Other serv. fee(new)</t>
  </si>
  <si>
    <t xml:space="preserve">7010 Electricity 10N Church</t>
  </si>
  <si>
    <t xml:space="preserve">7015 Electricity 12N Church</t>
  </si>
  <si>
    <t xml:space="preserve">7020 Electricity 8N Church</t>
  </si>
  <si>
    <t xml:space="preserve">7025 Electricity Parking Lot</t>
  </si>
  <si>
    <t xml:space="preserve">7030 Energy Improvements</t>
  </si>
  <si>
    <t xml:space="preserve">7035 Equipment (Maint.)</t>
  </si>
  <si>
    <t xml:space="preserve">7040 Fuel 10N Church</t>
  </si>
  <si>
    <t xml:space="preserve">7045 Fuel 12N Church</t>
  </si>
  <si>
    <t xml:space="preserve">7050 Fuel 8N Church</t>
  </si>
  <si>
    <t xml:space="preserve">7051 Solar 10 N Church</t>
  </si>
  <si>
    <t xml:space="preserve">7052 Solar 12N Church</t>
  </si>
  <si>
    <t xml:space="preserve">7053 Solar 8N Church</t>
  </si>
  <si>
    <t xml:space="preserve">7054 Solar Parking Lot</t>
  </si>
  <si>
    <t xml:space="preserve">7055 Grounds Upkeep</t>
  </si>
  <si>
    <t xml:space="preserve">7070 Misc Grounds Supplies</t>
  </si>
  <si>
    <t xml:space="preserve">7075 Regular Services</t>
  </si>
  <si>
    <t xml:space="preserve">7080 Repairs/Maint 10N Church</t>
  </si>
  <si>
    <t xml:space="preserve">7085 Repairs/Maint 12N Church</t>
  </si>
  <si>
    <t xml:space="preserve">7090 Repairs/Maint 8N Church</t>
  </si>
  <si>
    <t xml:space="preserve">7095 Security</t>
  </si>
  <si>
    <t xml:space="preserve">7100 Supplies/Cleaning</t>
  </si>
  <si>
    <t xml:space="preserve">7105 Supplies/Food (Maint.)</t>
  </si>
  <si>
    <t xml:space="preserve">7110 Supplies/Materials (Maint.)</t>
  </si>
  <si>
    <t xml:space="preserve">7115 Taxes &amp; Water</t>
  </si>
  <si>
    <t xml:space="preserve">7120 Operational Maintenance</t>
  </si>
  <si>
    <t xml:space="preserve">7121 Building Expense (unanticipated repairs)</t>
  </si>
  <si>
    <t xml:space="preserve">7122 Vale Cemetery upkeep(new)</t>
  </si>
  <si>
    <t xml:space="preserve">Property Staff</t>
  </si>
  <si>
    <t xml:space="preserve">5032 FICA Maintenance</t>
  </si>
  <si>
    <t xml:space="preserve">5033 Wages Maintenance</t>
  </si>
  <si>
    <t xml:space="preserve">5034 Medical Maintenance</t>
  </si>
  <si>
    <t xml:space="preserve">5035 Retirement Maintenance</t>
  </si>
  <si>
    <t xml:space="preserve">5036 Continuing Education</t>
  </si>
  <si>
    <t xml:space="preserve">Worship &amp; Arts</t>
  </si>
  <si>
    <t xml:space="preserve">6005 Communion</t>
  </si>
  <si>
    <t xml:space="preserve">6015 Honorarim (Pulpit Organ)</t>
  </si>
  <si>
    <t xml:space="preserve">6016 Organ Repair</t>
  </si>
  <si>
    <t xml:space="preserve">6020 Instrument Maintenance</t>
  </si>
  <si>
    <t xml:space="preserve">6025 Misc Music Expense</t>
  </si>
  <si>
    <t xml:space="preserve">6030 Misc Worship Expense</t>
  </si>
  <si>
    <t xml:space="preserve">6035 Music and Rights</t>
  </si>
  <si>
    <t xml:space="preserve">6036 Choir Robes</t>
  </si>
  <si>
    <t xml:space="preserve">6040 Childrens Choir</t>
  </si>
  <si>
    <t xml:space="preserve">6045 Handbells</t>
  </si>
  <si>
    <t xml:space="preserve">6050 Musicians</t>
  </si>
  <si>
    <t xml:space="preserve">6065 Special Worship</t>
  </si>
  <si>
    <t xml:space="preserve">6066 Orff Program</t>
  </si>
  <si>
    <t xml:space="preserve">6070 Ushers</t>
  </si>
  <si>
    <t xml:space="preserve">6075 Vespers</t>
  </si>
  <si>
    <t xml:space="preserve">6076 Flowers expenses</t>
  </si>
  <si>
    <t xml:space="preserve">6077 Audio sound expenses</t>
  </si>
  <si>
    <t xml:space="preserve">6078 Audio Sound /Video Streeming expenses</t>
  </si>
  <si>
    <t xml:space="preserve">6079 Miscast Cabaret (new)</t>
  </si>
  <si>
    <t xml:space="preserve">6080 Art Series (new)</t>
  </si>
  <si>
    <t xml:space="preserve">6081 Art Display Expence (new)</t>
  </si>
  <si>
    <t xml:space="preserve">6082 Candle,Oil,Wreth Exp. (new)</t>
  </si>
  <si>
    <t xml:space="preserve">6083 Vesting for Sanctuary(new)</t>
  </si>
  <si>
    <t xml:space="preserve">6084 Chancel Guild expenses/Cook Trust</t>
  </si>
  <si>
    <t xml:space="preserve">Worship &amp; Arts Music Staff</t>
  </si>
  <si>
    <t xml:space="preserve">5042 FICA Music</t>
  </si>
  <si>
    <t xml:space="preserve">5043 Wages Music</t>
  </si>
  <si>
    <t xml:space="preserve">5044 Continuing Education</t>
  </si>
  <si>
    <t xml:space="preserve">Worship &amp; Arts Senior Pastor</t>
  </si>
  <si>
    <t xml:space="preserve">5011 Continuing Ed Sr. Pastor</t>
  </si>
  <si>
    <t xml:space="preserve">5013 Wages Sr. Pastor</t>
  </si>
  <si>
    <t xml:space="preserve">5014 Medical Sr. Pastor</t>
  </si>
  <si>
    <t xml:space="preserve">5015 Retirement Sr. Pastor</t>
  </si>
  <si>
    <t xml:space="preserve">5016 Social Security Offset Sr. Pastor</t>
  </si>
  <si>
    <t xml:space="preserve">5017 Business &amp; Auto Sr. Pastor</t>
  </si>
  <si>
    <t xml:space="preserve">5018 Housing Sr. Pastor</t>
  </si>
  <si>
    <t xml:space="preserve">5019 Disability &amp; Life</t>
  </si>
  <si>
    <t xml:space="preserve">Youth Ed</t>
  </si>
  <si>
    <t xml:space="preserve">6105 Audio/Visual Church School</t>
  </si>
  <si>
    <t xml:space="preserve">6110 Confirmation/Communion</t>
  </si>
  <si>
    <t xml:space="preserve">6115 Curriculum Church School</t>
  </si>
  <si>
    <t xml:space="preserve">6116 Childrens Library</t>
  </si>
  <si>
    <t xml:space="preserve">6120 Family Programming</t>
  </si>
  <si>
    <t xml:space="preserve">6121 Camp Fowler scholarships (new)</t>
  </si>
  <si>
    <t xml:space="preserve">6124 Junior and Senior Youth</t>
  </si>
  <si>
    <t xml:space="preserve">6126 Misc. Education Expense</t>
  </si>
  <si>
    <t xml:space="preserve">6130 Recognition/Development</t>
  </si>
  <si>
    <t xml:space="preserve">6135 Senior High Mission Trip</t>
  </si>
  <si>
    <t xml:space="preserve">6145 Special Youth Service</t>
  </si>
  <si>
    <t xml:space="preserve">6150 Food, Church School</t>
  </si>
  <si>
    <t xml:space="preserve">6155 Supplies, Church School</t>
  </si>
  <si>
    <t xml:space="preserve">6160 Supplies Kinderwyk</t>
  </si>
  <si>
    <t xml:space="preserve">6165 Vacation Bible School</t>
  </si>
  <si>
    <t xml:space="preserve">Youth Ed Staff</t>
  </si>
  <si>
    <t xml:space="preserve">5072 FICA Youth</t>
  </si>
  <si>
    <t xml:space="preserve">5073 Wages Youth</t>
  </si>
  <si>
    <t xml:space="preserve">5075 Retirement Youth(new)</t>
  </si>
  <si>
    <t xml:space="preserve">5080 Continuing Education</t>
  </si>
  <si>
    <t xml:space="preserve">01 Classis Assessments</t>
  </si>
  <si>
    <t xml:space="preserve">02 Contributions</t>
  </si>
  <si>
    <t xml:space="preserve">4014 Easter Offering</t>
  </si>
  <si>
    <t xml:space="preserve">4015 Christmas Offering </t>
  </si>
  <si>
    <t xml:space="preserve">4016 Thanksgiving Offering</t>
  </si>
  <si>
    <t xml:space="preserve">4023 Online Giving Fee</t>
  </si>
  <si>
    <t xml:space="preserve">4024 Senior High Mission Trip income</t>
  </si>
  <si>
    <t xml:space="preserve">03 Investment Income</t>
  </si>
  <si>
    <t xml:space="preserve">2215 Checking Account</t>
  </si>
  <si>
    <t xml:space="preserve">04 Covenant Income</t>
  </si>
  <si>
    <t xml:space="preserve">05 Other Income</t>
  </si>
  <si>
    <t xml:space="preserve">4055 Holiday/Memorial Flowers income</t>
  </si>
  <si>
    <t xml:space="preserve">4057 Scholarship from Education Fund income</t>
  </si>
  <si>
    <t xml:space="preserve">07 Worship &amp; Arts</t>
  </si>
  <si>
    <t xml:space="preserve">6004 Audio Visual Contract Services (new)</t>
  </si>
  <si>
    <t xml:space="preserve">6076 Holiday/Memorial Flowers expenses</t>
  </si>
  <si>
    <t xml:space="preserve">6079 Miscast Cabaret </t>
  </si>
  <si>
    <t xml:space="preserve">6080 Art Series </t>
  </si>
  <si>
    <t xml:space="preserve">6081 Art Display Expence</t>
  </si>
  <si>
    <t xml:space="preserve">6082 Candle,Oil,Wreth Exp. </t>
  </si>
  <si>
    <t xml:space="preserve">6083 Vesting for Sanctuary</t>
  </si>
  <si>
    <t xml:space="preserve">08 Youth Ed</t>
  </si>
  <si>
    <t xml:space="preserve">6121 Camp Fowler scholarships </t>
  </si>
  <si>
    <t xml:space="preserve">6135 Senior High Mission Trip expense</t>
  </si>
  <si>
    <t xml:space="preserve">5074 Health Insurance Youth</t>
  </si>
  <si>
    <t xml:space="preserve">5075 Retirement Youth</t>
  </si>
  <si>
    <t xml:space="preserve">09 M&amp;B</t>
  </si>
  <si>
    <t xml:space="preserve">10 Covenant Fund</t>
  </si>
  <si>
    <t xml:space="preserve">6351 Approved Programs</t>
  </si>
  <si>
    <t xml:space="preserve">6360 Small Grants</t>
  </si>
  <si>
    <t xml:space="preserve">6368 Kitchen supplies</t>
  </si>
  <si>
    <t xml:space="preserve">6369 To Go Containers </t>
  </si>
  <si>
    <t xml:space="preserve">6375 Continuing Education</t>
  </si>
  <si>
    <t xml:space="preserve">11 Adult Ed</t>
  </si>
  <si>
    <t xml:space="preserve">6409 Scholarship from Education Fund expense</t>
  </si>
  <si>
    <t xml:space="preserve">12 Care &amp; Support</t>
  </si>
  <si>
    <t xml:space="preserve">13 Membership</t>
  </si>
  <si>
    <t xml:space="preserve">14 Creation Care</t>
  </si>
  <si>
    <t xml:space="preserve">15 Property</t>
  </si>
  <si>
    <t xml:space="preserve">7001 Custodian Fee/Other serv. Fee</t>
  </si>
  <si>
    <t xml:space="preserve">7122 Vale Cemetery upkeep</t>
  </si>
  <si>
    <t xml:space="preserve">5037 Housekeeping staff (new position)</t>
  </si>
  <si>
    <t xml:space="preserve">16 Finance</t>
  </si>
  <si>
    <t xml:space="preserve">8020 990 Preparation Expense </t>
  </si>
  <si>
    <t xml:space="preserve">17 Archives</t>
  </si>
  <si>
    <t xml:space="preserve">18 Administration</t>
  </si>
  <si>
    <t xml:space="preserve">9050 Staff Development</t>
  </si>
  <si>
    <t xml:space="preserve">19 Communications</t>
  </si>
  <si>
    <t>9111 Advertising</t>
  </si>
  <si>
    <t xml:space="preserve">9116 Supplies 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</si>
</sst>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\$#,##0_);[Red](\$#,##0)"/>
    <numFmt numFmtId="165" formatCode="&quot;$&quot;#,##0"/>
  </numFmts>
  <fonts count="3">
    <font>
      <sz val="10.000000"/>
      <color theme="1"/>
      <name val="Arial"/>
      <scheme val="minor"/>
    </font>
    <font>
      <sz val="10.000000"/>
      <name val="Arial"/>
    </font>
    <font>
      <b/>
      <sz val="11.00000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0"/>
        <bgColor theme="0" tint="0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theme="4" tint="0.39997558519241921"/>
      </left>
      <right style="none"/>
      <top style="thin">
        <color theme="4" tint="0.39997558519241921"/>
      </top>
      <bottom style="thin">
        <color theme="4" tint="0.39997558519241921"/>
      </bottom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1" applyFont="1" applyFill="1" applyBorder="1"/>
  </cellStyleXfs>
  <cellXfs count="12">
    <xf fontId="0" fillId="0" borderId="0" numFmtId="0" xfId="0"/>
    <xf fontId="0" fillId="0" borderId="0" numFmtId="0" xfId="0" applyAlignment="1">
      <alignment vertical="top"/>
    </xf>
    <xf fontId="0" fillId="0" borderId="0" numFmtId="3" xfId="0" applyNumberFormat="1" applyAlignment="1">
      <alignment vertical="top"/>
    </xf>
    <xf fontId="0" fillId="0" borderId="0" numFmtId="0" xfId="0" applyAlignment="1">
      <alignment vertical="center"/>
    </xf>
    <xf fontId="2" fillId="2" borderId="1" numFmtId="49" xfId="0" applyNumberFormat="1" applyFont="1" applyFill="1" applyBorder="1" applyAlignment="1">
      <alignment horizontal="center" vertical="center" wrapText="1"/>
    </xf>
    <xf fontId="2" fillId="2" borderId="0" numFmtId="3" xfId="0" applyNumberFormat="1" applyFont="1" applyFill="1" applyAlignment="1">
      <alignment horizontal="center" vertical="center" wrapText="1"/>
    </xf>
    <xf fontId="0" fillId="3" borderId="0" numFmtId="0" xfId="0" applyFill="1" applyAlignment="1">
      <alignment vertical="top"/>
    </xf>
    <xf fontId="0" fillId="0" borderId="0" numFmtId="0" xfId="0">
      <protection hidden="0" locked="1"/>
    </xf>
    <xf fontId="0" fillId="0" borderId="0" numFmtId="164" xfId="0" applyNumberFormat="1"/>
    <xf fontId="0" fillId="0" borderId="0" numFmtId="165" xfId="0" applyNumberFormat="1" applyAlignment="1">
      <alignment vertical="top"/>
    </xf>
    <xf fontId="0" fillId="3" borderId="0" numFmtId="0" xfId="0" applyFill="1"/>
    <xf fontId="0" fillId="3" borderId="0" numFmtId="3" xfId="0" applyNumberFormat="1" applyFill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externalLink" Target="externalLinks/externalLink1.xml"/><Relationship  Id="rId2" Type="http://schemas.openxmlformats.org/officeDocument/2006/relationships/connections" Target="connections.xml"/><Relationship  Id="rId3" Type="http://schemas.openxmlformats.org/officeDocument/2006/relationships/worksheet" Target="worksheets/sheet1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externalLinks/_rels/externalLink1.xml.rels><?xml version="1.0" encoding="UTF-8" standalone="yes"?><Relationships xmlns="http://schemas.openxmlformats.org/package/2006/relationships"><Relationship  Id="rId1" Type="http://schemas.openxmlformats.org/officeDocument/2006/relationships/externalLinkPath" Target="budget%2011-01-23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 11-01-23"/>
    </sheetNames>
    <sheetDataSet>
      <sheetData sheetId="0" refreshError="1"/>
    </sheetDataSet>
  </externalBook>
</externalLink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topLeftCell="A1" zoomScale="85" workbookViewId="0">
      <pane ySplit="1" topLeftCell="A2" activePane="bottomLeft" state="frozen"/>
      <selection activeCell="G18" activeCellId="0" sqref="G18"/>
    </sheetView>
  </sheetViews>
  <sheetFormatPr defaultColWidth="9.140625" defaultRowHeight="12.75"/>
  <cols>
    <col min="1" max="1" style="1" width="9.140625"/>
    <col bestFit="1" customWidth="1" min="2" max="2" style="1" width="17.28515625"/>
    <col bestFit="1" customWidth="1" min="3" max="3" style="1" width="29.140625"/>
    <col bestFit="1" customWidth="1" min="4" max="4" style="1" width="24"/>
    <col customWidth="1" min="5" max="5" style="2" width="24"/>
    <col min="6" max="16384" style="1" width="9.140625"/>
  </cols>
  <sheetData>
    <row r="1" s="3" customFormat="1" ht="14.25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3">
        <v>0</v>
      </c>
      <c r="G1" s="3"/>
    </row>
    <row r="2">
      <c r="A2" s="6">
        <v>2023</v>
      </c>
      <c r="B2" s="7" t="s">
        <v>5</v>
      </c>
      <c r="C2" s="7" t="s">
        <v>6</v>
      </c>
      <c r="D2" s="7" t="s">
        <v>7</v>
      </c>
      <c r="E2" s="8">
        <v>14000</v>
      </c>
      <c r="F2" s="6">
        <f t="shared" ref="F2:F9" si="0">IF(C2=C1,F1,F1+1)</f>
        <v>1</v>
      </c>
      <c r="G2" s="1"/>
    </row>
    <row r="3">
      <c r="A3" s="6">
        <v>2023</v>
      </c>
      <c r="B3" s="7" t="s">
        <v>5</v>
      </c>
      <c r="C3" s="7" t="s">
        <v>6</v>
      </c>
      <c r="D3" s="7" t="s">
        <v>8</v>
      </c>
      <c r="E3" s="8">
        <v>335500</v>
      </c>
      <c r="F3" s="6">
        <f t="shared" si="0"/>
        <v>1</v>
      </c>
      <c r="G3" s="1"/>
    </row>
    <row r="4">
      <c r="A4" s="6">
        <v>2023</v>
      </c>
      <c r="B4" s="7" t="s">
        <v>5</v>
      </c>
      <c r="C4" s="7" t="s">
        <v>6</v>
      </c>
      <c r="D4" s="7" t="s">
        <v>9</v>
      </c>
      <c r="E4" s="8">
        <v>10000</v>
      </c>
      <c r="F4" s="6">
        <f t="shared" si="0"/>
        <v>1</v>
      </c>
      <c r="G4" s="1"/>
    </row>
    <row r="5">
      <c r="A5" s="6">
        <v>2023</v>
      </c>
      <c r="B5" s="7" t="s">
        <v>5</v>
      </c>
      <c r="C5" s="7" t="s">
        <v>6</v>
      </c>
      <c r="D5" s="7" t="s">
        <v>10</v>
      </c>
      <c r="E5" s="8">
        <v>7000</v>
      </c>
      <c r="F5" s="6">
        <f t="shared" si="0"/>
        <v>1</v>
      </c>
      <c r="G5" s="1"/>
    </row>
    <row r="6">
      <c r="A6" s="6">
        <v>2023</v>
      </c>
      <c r="B6" s="7" t="s">
        <v>5</v>
      </c>
      <c r="C6" s="7" t="s">
        <v>6</v>
      </c>
      <c r="D6" s="7" t="s">
        <v>11</v>
      </c>
      <c r="E6" s="8">
        <v>10000</v>
      </c>
      <c r="F6" s="6">
        <f t="shared" si="0"/>
        <v>1</v>
      </c>
      <c r="G6" s="1"/>
    </row>
    <row r="7">
      <c r="A7" s="6">
        <v>2023</v>
      </c>
      <c r="B7" s="7" t="s">
        <v>5</v>
      </c>
      <c r="C7" s="7" t="s">
        <v>6</v>
      </c>
      <c r="D7" s="7" t="s">
        <v>12</v>
      </c>
      <c r="E7" s="8">
        <v>32500</v>
      </c>
      <c r="F7" s="6">
        <f t="shared" si="0"/>
        <v>1</v>
      </c>
      <c r="G7" s="1"/>
    </row>
    <row r="8">
      <c r="A8" s="6">
        <v>2023</v>
      </c>
      <c r="B8" s="7" t="s">
        <v>5</v>
      </c>
      <c r="C8" s="7" t="s">
        <v>6</v>
      </c>
      <c r="D8" s="7" t="s">
        <v>13</v>
      </c>
      <c r="E8" s="8">
        <v>200</v>
      </c>
      <c r="F8" s="6">
        <f t="shared" si="0"/>
        <v>1</v>
      </c>
      <c r="G8" s="1"/>
    </row>
    <row r="9">
      <c r="A9" s="6">
        <v>2023</v>
      </c>
      <c r="B9" s="7" t="s">
        <v>5</v>
      </c>
      <c r="C9" s="7" t="s">
        <v>6</v>
      </c>
      <c r="D9" s="7" t="s">
        <v>14</v>
      </c>
      <c r="E9" s="8">
        <v>200</v>
      </c>
      <c r="F9" s="6">
        <f t="shared" si="0"/>
        <v>1</v>
      </c>
      <c r="G9" s="1"/>
    </row>
    <row r="10">
      <c r="A10" s="6">
        <v>2023</v>
      </c>
      <c r="B10" s="7" t="s">
        <v>5</v>
      </c>
      <c r="C10" s="7" t="s">
        <v>15</v>
      </c>
      <c r="D10" s="7" t="s">
        <v>16</v>
      </c>
      <c r="E10" s="8">
        <v>8000</v>
      </c>
      <c r="F10" s="6">
        <f>IF(C10=C9,F9,F9+1)</f>
        <v>2</v>
      </c>
      <c r="G10" s="1"/>
    </row>
    <row r="11">
      <c r="A11" s="6">
        <v>2023</v>
      </c>
      <c r="B11" s="7" t="s">
        <v>5</v>
      </c>
      <c r="C11" s="7" t="s">
        <v>15</v>
      </c>
      <c r="D11" s="7" t="s">
        <v>17</v>
      </c>
      <c r="E11" s="8">
        <v>0</v>
      </c>
      <c r="F11" s="6">
        <f t="shared" ref="F11:F74" si="1">IF(C11=C10,F10,F10+1)</f>
        <v>2</v>
      </c>
      <c r="G11" s="1"/>
    </row>
    <row r="12">
      <c r="A12" s="6">
        <v>2023</v>
      </c>
      <c r="B12" s="7" t="s">
        <v>5</v>
      </c>
      <c r="C12" s="7" t="s">
        <v>15</v>
      </c>
      <c r="D12" s="7" t="s">
        <v>18</v>
      </c>
      <c r="E12" s="8">
        <v>66000</v>
      </c>
      <c r="F12" s="6">
        <f t="shared" si="1"/>
        <v>2</v>
      </c>
      <c r="G12" s="1"/>
    </row>
    <row r="13">
      <c r="A13" s="6">
        <v>2023</v>
      </c>
      <c r="B13" s="7" t="s">
        <v>5</v>
      </c>
      <c r="C13" s="7" t="s">
        <v>15</v>
      </c>
      <c r="D13" s="7" t="s">
        <v>19</v>
      </c>
      <c r="E13" s="8">
        <v>62520</v>
      </c>
      <c r="F13" s="6">
        <f t="shared" si="1"/>
        <v>2</v>
      </c>
      <c r="G13" s="1"/>
    </row>
    <row r="14">
      <c r="A14" s="6">
        <v>2023</v>
      </c>
      <c r="B14" s="7" t="s">
        <v>5</v>
      </c>
      <c r="C14" s="7" t="s">
        <v>15</v>
      </c>
      <c r="D14" s="7" t="s">
        <v>20</v>
      </c>
      <c r="E14" s="8">
        <v>100000</v>
      </c>
      <c r="F14" s="6">
        <f t="shared" si="1"/>
        <v>2</v>
      </c>
      <c r="G14" s="1"/>
    </row>
    <row r="15">
      <c r="A15" s="6">
        <v>2023</v>
      </c>
      <c r="B15" s="7" t="s">
        <v>5</v>
      </c>
      <c r="C15" s="7" t="s">
        <v>21</v>
      </c>
      <c r="D15" s="7" t="s">
        <v>22</v>
      </c>
      <c r="E15" s="8">
        <v>175700</v>
      </c>
      <c r="F15" s="6">
        <f t="shared" si="1"/>
        <v>3</v>
      </c>
      <c r="G15" s="1"/>
    </row>
    <row r="16">
      <c r="A16" s="6">
        <v>2023</v>
      </c>
      <c r="B16" s="7" t="s">
        <v>5</v>
      </c>
      <c r="C16" s="7" t="s">
        <v>21</v>
      </c>
      <c r="D16" s="7" t="s">
        <v>23</v>
      </c>
      <c r="E16" s="8">
        <v>188500</v>
      </c>
      <c r="F16" s="6">
        <f t="shared" si="1"/>
        <v>3</v>
      </c>
      <c r="G16" s="1"/>
    </row>
    <row r="17">
      <c r="A17" s="6">
        <v>2023</v>
      </c>
      <c r="B17" s="7" t="s">
        <v>5</v>
      </c>
      <c r="C17" s="7" t="s">
        <v>21</v>
      </c>
      <c r="D17" s="7" t="s">
        <v>24</v>
      </c>
      <c r="E17" s="8">
        <v>140000</v>
      </c>
      <c r="F17" s="6">
        <f t="shared" si="1"/>
        <v>3</v>
      </c>
      <c r="G17" s="1"/>
    </row>
    <row r="18">
      <c r="A18" s="6">
        <v>2023</v>
      </c>
      <c r="B18" s="7" t="s">
        <v>5</v>
      </c>
      <c r="C18" s="7" t="s">
        <v>21</v>
      </c>
      <c r="D18" s="7" t="s">
        <v>25</v>
      </c>
      <c r="E18" s="8">
        <v>16922</v>
      </c>
      <c r="F18" s="6">
        <f t="shared" si="1"/>
        <v>3</v>
      </c>
      <c r="G18" s="1"/>
    </row>
    <row r="19">
      <c r="A19" s="6">
        <v>2023</v>
      </c>
      <c r="B19" s="7" t="s">
        <v>5</v>
      </c>
      <c r="C19" s="7" t="s">
        <v>21</v>
      </c>
      <c r="D19" s="7" t="s">
        <v>26</v>
      </c>
      <c r="E19" s="8">
        <v>34600</v>
      </c>
      <c r="F19" s="6">
        <f t="shared" si="1"/>
        <v>3</v>
      </c>
      <c r="G19" s="1"/>
    </row>
    <row r="20">
      <c r="A20" s="6">
        <v>2023</v>
      </c>
      <c r="B20" s="7" t="s">
        <v>5</v>
      </c>
      <c r="C20" s="7" t="s">
        <v>21</v>
      </c>
      <c r="D20" s="7" t="s">
        <v>27</v>
      </c>
      <c r="E20" s="8">
        <v>22350</v>
      </c>
      <c r="F20" s="6">
        <f t="shared" si="1"/>
        <v>3</v>
      </c>
      <c r="G20" s="1"/>
    </row>
    <row r="21">
      <c r="A21" s="6">
        <v>2023</v>
      </c>
      <c r="B21" s="7" t="s">
        <v>5</v>
      </c>
      <c r="C21" s="7" t="s">
        <v>28</v>
      </c>
      <c r="D21" s="7" t="s">
        <v>29</v>
      </c>
      <c r="E21" s="8">
        <v>10000</v>
      </c>
      <c r="F21" s="6">
        <f t="shared" si="1"/>
        <v>4</v>
      </c>
      <c r="G21" s="1"/>
    </row>
    <row r="22">
      <c r="A22" s="6">
        <v>2023</v>
      </c>
      <c r="B22" s="7" t="s">
        <v>5</v>
      </c>
      <c r="C22" s="7" t="s">
        <v>28</v>
      </c>
      <c r="D22" s="7" t="s">
        <v>30</v>
      </c>
      <c r="E22" s="8">
        <v>3000</v>
      </c>
      <c r="F22" s="6">
        <f t="shared" si="1"/>
        <v>4</v>
      </c>
      <c r="G22" s="1"/>
    </row>
    <row r="23">
      <c r="A23" s="6">
        <v>2023</v>
      </c>
      <c r="B23" s="7" t="s">
        <v>5</v>
      </c>
      <c r="C23" s="7" t="s">
        <v>28</v>
      </c>
      <c r="D23" s="7" t="s">
        <v>31</v>
      </c>
      <c r="E23" s="8">
        <v>13800</v>
      </c>
      <c r="F23" s="6">
        <f t="shared" si="1"/>
        <v>4</v>
      </c>
      <c r="G23" s="1"/>
    </row>
    <row r="24">
      <c r="A24" s="6">
        <v>2023</v>
      </c>
      <c r="B24" s="7" t="s">
        <v>5</v>
      </c>
      <c r="C24" s="7" t="s">
        <v>28</v>
      </c>
      <c r="D24" s="7" t="s">
        <v>32</v>
      </c>
      <c r="E24" s="8">
        <v>1100</v>
      </c>
      <c r="F24" s="6">
        <f t="shared" si="1"/>
        <v>4</v>
      </c>
      <c r="G24" s="1"/>
    </row>
    <row r="25">
      <c r="A25" s="6">
        <v>2023</v>
      </c>
      <c r="B25" s="7" t="s">
        <v>5</v>
      </c>
      <c r="C25" s="7" t="s">
        <v>28</v>
      </c>
      <c r="D25" s="7" t="s">
        <v>33</v>
      </c>
      <c r="E25" s="8">
        <v>910</v>
      </c>
      <c r="F25" s="6">
        <f t="shared" si="1"/>
        <v>4</v>
      </c>
      <c r="G25" s="1"/>
    </row>
    <row r="26">
      <c r="A26" s="6">
        <v>2023</v>
      </c>
      <c r="B26" s="7" t="s">
        <v>5</v>
      </c>
      <c r="C26" s="7" t="s">
        <v>28</v>
      </c>
      <c r="D26" s="7" t="s">
        <v>34</v>
      </c>
      <c r="E26" s="8">
        <v>0</v>
      </c>
      <c r="F26" s="6">
        <f t="shared" si="1"/>
        <v>4</v>
      </c>
      <c r="G26" s="1"/>
    </row>
    <row r="27">
      <c r="A27" s="6">
        <v>2023</v>
      </c>
      <c r="B27" s="7" t="s">
        <v>35</v>
      </c>
      <c r="C27" s="7" t="s">
        <v>36</v>
      </c>
      <c r="D27" s="7" t="s">
        <v>37</v>
      </c>
      <c r="E27" s="8">
        <v>-3500</v>
      </c>
      <c r="F27" s="6">
        <f t="shared" si="1"/>
        <v>5</v>
      </c>
      <c r="G27" s="1"/>
    </row>
    <row r="28">
      <c r="A28" s="6">
        <v>2023</v>
      </c>
      <c r="B28" s="7" t="s">
        <v>35</v>
      </c>
      <c r="C28" s="7" t="s">
        <v>36</v>
      </c>
      <c r="D28" s="7" t="s">
        <v>38</v>
      </c>
      <c r="E28" s="8">
        <v>-27000</v>
      </c>
      <c r="F28" s="6">
        <f t="shared" si="1"/>
        <v>5</v>
      </c>
      <c r="G28" s="1"/>
    </row>
    <row r="29">
      <c r="A29" s="6">
        <v>2023</v>
      </c>
      <c r="B29" s="7" t="s">
        <v>35</v>
      </c>
      <c r="C29" s="7" t="s">
        <v>36</v>
      </c>
      <c r="D29" s="7" t="s">
        <v>39</v>
      </c>
      <c r="E29" s="8">
        <v>-500</v>
      </c>
      <c r="F29" s="6">
        <f t="shared" si="1"/>
        <v>5</v>
      </c>
      <c r="G29" s="1"/>
    </row>
    <row r="30">
      <c r="A30" s="6">
        <v>2023</v>
      </c>
      <c r="B30" s="7" t="s">
        <v>35</v>
      </c>
      <c r="C30" s="7" t="s">
        <v>36</v>
      </c>
      <c r="D30" s="7" t="s">
        <v>40</v>
      </c>
      <c r="E30" s="8">
        <v>-9000</v>
      </c>
      <c r="F30" s="6">
        <f t="shared" si="1"/>
        <v>5</v>
      </c>
    </row>
    <row r="31">
      <c r="A31" s="6">
        <v>2023</v>
      </c>
      <c r="B31" s="7" t="s">
        <v>35</v>
      </c>
      <c r="C31" s="7" t="s">
        <v>36</v>
      </c>
      <c r="D31" s="7" t="s">
        <v>41</v>
      </c>
      <c r="E31" s="8">
        <v>-4000</v>
      </c>
      <c r="F31" s="6">
        <f t="shared" si="1"/>
        <v>5</v>
      </c>
    </row>
    <row r="32">
      <c r="A32" s="6">
        <v>2023</v>
      </c>
      <c r="B32" s="7" t="s">
        <v>35</v>
      </c>
      <c r="C32" s="7" t="s">
        <v>36</v>
      </c>
      <c r="D32" s="7" t="s">
        <v>42</v>
      </c>
      <c r="E32" s="8">
        <v>-3000</v>
      </c>
      <c r="F32" s="6">
        <f t="shared" si="1"/>
        <v>5</v>
      </c>
    </row>
    <row r="33">
      <c r="A33" s="6">
        <v>2023</v>
      </c>
      <c r="B33" s="7" t="s">
        <v>35</v>
      </c>
      <c r="C33" s="7" t="s">
        <v>36</v>
      </c>
      <c r="D33" s="7" t="s">
        <v>43</v>
      </c>
      <c r="E33" s="8">
        <v>-1500</v>
      </c>
      <c r="F33" s="6">
        <f t="shared" si="1"/>
        <v>5</v>
      </c>
    </row>
    <row r="34">
      <c r="A34" s="6">
        <v>2023</v>
      </c>
      <c r="B34" s="7" t="s">
        <v>35</v>
      </c>
      <c r="C34" s="7" t="s">
        <v>36</v>
      </c>
      <c r="D34" s="7" t="s">
        <v>44</v>
      </c>
      <c r="E34" s="8">
        <v>-1000</v>
      </c>
      <c r="F34" s="6">
        <f t="shared" si="1"/>
        <v>5</v>
      </c>
    </row>
    <row r="35">
      <c r="A35" s="6">
        <v>2023</v>
      </c>
      <c r="B35" s="7" t="s">
        <v>35</v>
      </c>
      <c r="C35" s="7" t="s">
        <v>36</v>
      </c>
      <c r="D35" s="7" t="s">
        <v>45</v>
      </c>
      <c r="E35" s="8">
        <v>-2800</v>
      </c>
      <c r="F35" s="6">
        <f t="shared" si="1"/>
        <v>5</v>
      </c>
    </row>
    <row r="36">
      <c r="A36" s="6">
        <v>2023</v>
      </c>
      <c r="B36" s="7" t="s">
        <v>35</v>
      </c>
      <c r="C36" s="7" t="s">
        <v>36</v>
      </c>
      <c r="D36" s="7" t="s">
        <v>46</v>
      </c>
      <c r="E36" s="8">
        <v>-1600</v>
      </c>
      <c r="F36" s="6">
        <f t="shared" si="1"/>
        <v>5</v>
      </c>
    </row>
    <row r="37">
      <c r="A37" s="6">
        <v>2023</v>
      </c>
      <c r="B37" s="7" t="s">
        <v>35</v>
      </c>
      <c r="C37" s="7" t="s">
        <v>36</v>
      </c>
      <c r="D37" s="7" t="s">
        <v>47</v>
      </c>
      <c r="E37" s="8">
        <v>-500</v>
      </c>
      <c r="F37" s="6">
        <f t="shared" si="1"/>
        <v>5</v>
      </c>
    </row>
    <row r="38">
      <c r="A38" s="6">
        <v>2023</v>
      </c>
      <c r="B38" s="7" t="s">
        <v>35</v>
      </c>
      <c r="C38" s="7" t="s">
        <v>36</v>
      </c>
      <c r="D38" s="7" t="s">
        <v>48</v>
      </c>
      <c r="E38" s="8">
        <v>-4200</v>
      </c>
      <c r="F38" s="6">
        <f t="shared" si="1"/>
        <v>5</v>
      </c>
    </row>
    <row r="39">
      <c r="A39" s="6">
        <v>2023</v>
      </c>
      <c r="B39" s="7" t="s">
        <v>35</v>
      </c>
      <c r="C39" s="7" t="s">
        <v>36</v>
      </c>
      <c r="D39" s="7" t="s">
        <v>49</v>
      </c>
      <c r="E39" s="8">
        <v>-3000</v>
      </c>
      <c r="F39" s="6">
        <f t="shared" si="1"/>
        <v>5</v>
      </c>
    </row>
    <row r="40">
      <c r="A40" s="6">
        <v>2023</v>
      </c>
      <c r="B40" s="7" t="s">
        <v>35</v>
      </c>
      <c r="C40" s="7" t="s">
        <v>50</v>
      </c>
      <c r="D40" s="7" t="s">
        <v>51</v>
      </c>
      <c r="E40" s="8">
        <v>-5020</v>
      </c>
      <c r="F40" s="6">
        <f t="shared" si="1"/>
        <v>6</v>
      </c>
    </row>
    <row r="41">
      <c r="A41" s="6">
        <v>2023</v>
      </c>
      <c r="B41" s="7" t="s">
        <v>35</v>
      </c>
      <c r="C41" s="7" t="s">
        <v>50</v>
      </c>
      <c r="D41" s="7" t="s">
        <v>52</v>
      </c>
      <c r="E41" s="8">
        <v>-65600</v>
      </c>
      <c r="F41" s="6">
        <f t="shared" si="1"/>
        <v>6</v>
      </c>
    </row>
    <row r="42">
      <c r="A42" s="6">
        <v>2023</v>
      </c>
      <c r="B42" s="7" t="s">
        <v>35</v>
      </c>
      <c r="C42" s="7" t="s">
        <v>50</v>
      </c>
      <c r="D42" s="7" t="s">
        <v>53</v>
      </c>
      <c r="E42" s="8">
        <v>-2080</v>
      </c>
      <c r="F42" s="6">
        <f t="shared" si="1"/>
        <v>6</v>
      </c>
    </row>
    <row r="43">
      <c r="A43" s="6">
        <v>2023</v>
      </c>
      <c r="B43" s="7" t="s">
        <v>35</v>
      </c>
      <c r="C43" s="7" t="s">
        <v>50</v>
      </c>
      <c r="D43" s="7" t="s">
        <v>54</v>
      </c>
      <c r="E43" s="8">
        <v>-11000</v>
      </c>
      <c r="F43" s="6">
        <f t="shared" si="1"/>
        <v>6</v>
      </c>
    </row>
    <row r="44">
      <c r="A44" s="6">
        <v>2023</v>
      </c>
      <c r="B44" s="7" t="s">
        <v>35</v>
      </c>
      <c r="C44" s="7" t="s">
        <v>50</v>
      </c>
      <c r="D44" s="7" t="s">
        <v>55</v>
      </c>
      <c r="E44" s="8">
        <v>-1000</v>
      </c>
      <c r="F44" s="6">
        <f t="shared" si="1"/>
        <v>6</v>
      </c>
    </row>
    <row r="45">
      <c r="A45" s="6">
        <v>2023</v>
      </c>
      <c r="B45" s="7" t="s">
        <v>35</v>
      </c>
      <c r="C45" s="7" t="s">
        <v>56</v>
      </c>
      <c r="D45" s="7" t="s">
        <v>57</v>
      </c>
      <c r="E45" s="8">
        <v>-225</v>
      </c>
      <c r="F45" s="6">
        <f t="shared" si="1"/>
        <v>7</v>
      </c>
    </row>
    <row r="46">
      <c r="A46" s="6">
        <v>2023</v>
      </c>
      <c r="B46" s="7" t="s">
        <v>35</v>
      </c>
      <c r="C46" s="7" t="s">
        <v>56</v>
      </c>
      <c r="D46" s="7" t="s">
        <v>58</v>
      </c>
      <c r="E46" s="8">
        <v>-180</v>
      </c>
      <c r="F46" s="6">
        <f t="shared" si="1"/>
        <v>7</v>
      </c>
    </row>
    <row r="47">
      <c r="A47" s="6">
        <v>2023</v>
      </c>
      <c r="B47" s="7" t="s">
        <v>35</v>
      </c>
      <c r="C47" s="7" t="s">
        <v>56</v>
      </c>
      <c r="D47" s="7" t="s">
        <v>59</v>
      </c>
      <c r="E47" s="8">
        <v>-450</v>
      </c>
      <c r="F47" s="6">
        <f t="shared" si="1"/>
        <v>7</v>
      </c>
    </row>
    <row r="48">
      <c r="A48" s="6">
        <v>2023</v>
      </c>
      <c r="B48" s="7" t="s">
        <v>35</v>
      </c>
      <c r="C48" s="7" t="s">
        <v>56</v>
      </c>
      <c r="D48" s="7" t="s">
        <v>60</v>
      </c>
      <c r="E48" s="8">
        <v>-180</v>
      </c>
      <c r="F48" s="6">
        <f t="shared" si="1"/>
        <v>7</v>
      </c>
    </row>
    <row r="49">
      <c r="A49" s="6">
        <v>2023</v>
      </c>
      <c r="B49" s="7" t="s">
        <v>35</v>
      </c>
      <c r="C49" s="7" t="s">
        <v>56</v>
      </c>
      <c r="D49" s="7" t="s">
        <v>61</v>
      </c>
      <c r="E49" s="8">
        <v>-900</v>
      </c>
      <c r="F49" s="6">
        <f t="shared" si="1"/>
        <v>7</v>
      </c>
    </row>
    <row r="50">
      <c r="A50" s="6">
        <v>2023</v>
      </c>
      <c r="B50" s="7" t="s">
        <v>35</v>
      </c>
      <c r="C50" s="7" t="s">
        <v>56</v>
      </c>
      <c r="D50" s="7" t="s">
        <v>62</v>
      </c>
      <c r="E50" s="8">
        <v>-180</v>
      </c>
      <c r="F50" s="6">
        <f t="shared" si="1"/>
        <v>7</v>
      </c>
    </row>
    <row r="51">
      <c r="A51" s="6">
        <v>2023</v>
      </c>
      <c r="B51" s="7" t="s">
        <v>35</v>
      </c>
      <c r="C51" s="7" t="s">
        <v>63</v>
      </c>
      <c r="D51" s="7" t="s">
        <v>64</v>
      </c>
      <c r="E51" s="8">
        <v>-2000</v>
      </c>
      <c r="F51" s="6">
        <f t="shared" si="1"/>
        <v>8</v>
      </c>
    </row>
    <row r="52">
      <c r="A52" s="6">
        <v>2023</v>
      </c>
      <c r="B52" s="7" t="s">
        <v>35</v>
      </c>
      <c r="C52" s="7" t="s">
        <v>63</v>
      </c>
      <c r="D52" s="7" t="s">
        <v>65</v>
      </c>
      <c r="E52" s="8">
        <v>-1500</v>
      </c>
      <c r="F52" s="6">
        <f t="shared" si="1"/>
        <v>8</v>
      </c>
    </row>
    <row r="53">
      <c r="A53" s="6">
        <v>2023</v>
      </c>
      <c r="B53" s="7" t="s">
        <v>35</v>
      </c>
      <c r="C53" s="7" t="s">
        <v>63</v>
      </c>
      <c r="D53" s="7" t="s">
        <v>66</v>
      </c>
      <c r="E53" s="8">
        <v>-250</v>
      </c>
      <c r="F53" s="6">
        <f t="shared" si="1"/>
        <v>8</v>
      </c>
    </row>
    <row r="54">
      <c r="A54" s="6">
        <v>2023</v>
      </c>
      <c r="B54" s="7" t="s">
        <v>35</v>
      </c>
      <c r="C54" s="7" t="s">
        <v>67</v>
      </c>
      <c r="D54" s="7" t="s">
        <v>68</v>
      </c>
      <c r="E54" s="8">
        <v>-500</v>
      </c>
      <c r="F54" s="6">
        <f t="shared" si="1"/>
        <v>9</v>
      </c>
    </row>
    <row r="55">
      <c r="A55" s="6">
        <v>2023</v>
      </c>
      <c r="B55" s="7" t="s">
        <v>35</v>
      </c>
      <c r="C55" s="7" t="s">
        <v>67</v>
      </c>
      <c r="D55" s="7" t="s">
        <v>69</v>
      </c>
      <c r="E55" s="8">
        <v>-200</v>
      </c>
      <c r="F55" s="6">
        <f t="shared" si="1"/>
        <v>9</v>
      </c>
    </row>
    <row r="56">
      <c r="A56" s="6">
        <v>2023</v>
      </c>
      <c r="B56" s="7" t="s">
        <v>35</v>
      </c>
      <c r="C56" s="7" t="s">
        <v>67</v>
      </c>
      <c r="D56" s="7" t="s">
        <v>70</v>
      </c>
      <c r="E56" s="8">
        <v>-300</v>
      </c>
      <c r="F56" s="6">
        <f t="shared" si="1"/>
        <v>9</v>
      </c>
    </row>
    <row r="57">
      <c r="A57" s="6">
        <v>2023</v>
      </c>
      <c r="B57" s="7" t="s">
        <v>35</v>
      </c>
      <c r="C57" s="7" t="s">
        <v>67</v>
      </c>
      <c r="D57" s="7" t="s">
        <v>71</v>
      </c>
      <c r="E57" s="8">
        <v>-200</v>
      </c>
      <c r="F57" s="6">
        <f t="shared" si="1"/>
        <v>9</v>
      </c>
    </row>
    <row r="58">
      <c r="A58" s="6">
        <v>2023</v>
      </c>
      <c r="B58" s="7" t="s">
        <v>35</v>
      </c>
      <c r="C58" s="7" t="s">
        <v>67</v>
      </c>
      <c r="D58" s="7" t="s">
        <v>72</v>
      </c>
      <c r="E58" s="8">
        <v>-300</v>
      </c>
      <c r="F58" s="6">
        <f t="shared" si="1"/>
        <v>9</v>
      </c>
    </row>
    <row r="59">
      <c r="A59" s="6">
        <v>2023</v>
      </c>
      <c r="B59" s="7" t="s">
        <v>35</v>
      </c>
      <c r="C59" s="7" t="s">
        <v>73</v>
      </c>
      <c r="D59" s="7" t="s">
        <v>74</v>
      </c>
      <c r="E59" s="8">
        <v>-1650</v>
      </c>
      <c r="F59" s="6">
        <f t="shared" si="1"/>
        <v>10</v>
      </c>
    </row>
    <row r="60">
      <c r="A60" s="6">
        <v>2023</v>
      </c>
      <c r="B60" s="7" t="s">
        <v>35</v>
      </c>
      <c r="C60" s="7" t="s">
        <v>73</v>
      </c>
      <c r="D60" s="7" t="s">
        <v>75</v>
      </c>
      <c r="E60" s="8">
        <v>-51753</v>
      </c>
      <c r="F60" s="6">
        <f t="shared" si="1"/>
        <v>10</v>
      </c>
    </row>
    <row r="61">
      <c r="A61" s="6">
        <v>2023</v>
      </c>
      <c r="B61" s="7" t="s">
        <v>35</v>
      </c>
      <c r="C61" s="7" t="s">
        <v>73</v>
      </c>
      <c r="D61" s="7" t="s">
        <v>76</v>
      </c>
      <c r="E61" s="8">
        <v>-24363</v>
      </c>
      <c r="F61" s="6">
        <f t="shared" si="1"/>
        <v>10</v>
      </c>
    </row>
    <row r="62">
      <c r="A62" s="6">
        <v>2023</v>
      </c>
      <c r="B62" s="7" t="s">
        <v>35</v>
      </c>
      <c r="C62" s="7" t="s">
        <v>73</v>
      </c>
      <c r="D62" s="7" t="s">
        <v>77</v>
      </c>
      <c r="E62" s="8">
        <v>-10146</v>
      </c>
      <c r="F62" s="6">
        <f t="shared" si="1"/>
        <v>10</v>
      </c>
    </row>
    <row r="63">
      <c r="A63" s="6">
        <v>2023</v>
      </c>
      <c r="B63" s="7" t="s">
        <v>35</v>
      </c>
      <c r="C63" s="7" t="s">
        <v>73</v>
      </c>
      <c r="D63" s="7" t="s">
        <v>78</v>
      </c>
      <c r="E63" s="8">
        <v>-6542</v>
      </c>
      <c r="F63" s="6">
        <f t="shared" si="1"/>
        <v>10</v>
      </c>
    </row>
    <row r="64">
      <c r="A64" s="6">
        <v>2023</v>
      </c>
      <c r="B64" s="7" t="s">
        <v>35</v>
      </c>
      <c r="C64" s="7" t="s">
        <v>73</v>
      </c>
      <c r="D64" s="7" t="s">
        <v>79</v>
      </c>
      <c r="E64" s="8">
        <v>-3800</v>
      </c>
      <c r="F64" s="6">
        <f t="shared" si="1"/>
        <v>10</v>
      </c>
    </row>
    <row r="65">
      <c r="A65" s="6">
        <v>2023</v>
      </c>
      <c r="B65" s="7" t="s">
        <v>35</v>
      </c>
      <c r="C65" s="7" t="s">
        <v>73</v>
      </c>
      <c r="D65" s="7" t="s">
        <v>80</v>
      </c>
      <c r="E65" s="8">
        <v>-33760</v>
      </c>
      <c r="F65" s="6">
        <f t="shared" si="1"/>
        <v>10</v>
      </c>
    </row>
    <row r="66">
      <c r="A66" s="6">
        <v>2023</v>
      </c>
      <c r="B66" s="7" t="s">
        <v>35</v>
      </c>
      <c r="C66" s="7" t="s">
        <v>73</v>
      </c>
      <c r="D66" s="7" t="s">
        <v>81</v>
      </c>
      <c r="E66" s="8">
        <v>-3500</v>
      </c>
      <c r="F66" s="6">
        <f t="shared" si="1"/>
        <v>10</v>
      </c>
    </row>
    <row r="67">
      <c r="A67" s="6">
        <v>2023</v>
      </c>
      <c r="B67" s="7" t="s">
        <v>35</v>
      </c>
      <c r="C67" s="7" t="s">
        <v>82</v>
      </c>
      <c r="D67" s="7" t="s">
        <v>83</v>
      </c>
      <c r="E67" s="8">
        <v>-500</v>
      </c>
      <c r="F67" s="6">
        <f t="shared" si="1"/>
        <v>11</v>
      </c>
    </row>
    <row r="68">
      <c r="A68" s="6">
        <v>2023</v>
      </c>
      <c r="B68" s="7" t="s">
        <v>35</v>
      </c>
      <c r="C68" s="7" t="s">
        <v>82</v>
      </c>
      <c r="D68" s="7" t="s">
        <v>84</v>
      </c>
      <c r="E68" s="8">
        <v>-1000</v>
      </c>
      <c r="F68" s="6">
        <f t="shared" si="1"/>
        <v>11</v>
      </c>
    </row>
    <row r="69">
      <c r="A69" s="6">
        <v>2023</v>
      </c>
      <c r="B69" s="7" t="s">
        <v>35</v>
      </c>
      <c r="C69" s="7" t="s">
        <v>82</v>
      </c>
      <c r="D69" s="7" t="s">
        <v>85</v>
      </c>
      <c r="E69" s="8">
        <v>-1000</v>
      </c>
      <c r="F69" s="6">
        <f t="shared" si="1"/>
        <v>11</v>
      </c>
    </row>
    <row r="70">
      <c r="A70" s="6">
        <v>2023</v>
      </c>
      <c r="B70" s="7" t="s">
        <v>35</v>
      </c>
      <c r="C70" s="7" t="s">
        <v>82</v>
      </c>
      <c r="D70" s="7" t="s">
        <v>86</v>
      </c>
      <c r="E70" s="8">
        <v>-500</v>
      </c>
      <c r="F70" s="6">
        <f t="shared" si="1"/>
        <v>11</v>
      </c>
    </row>
    <row r="71">
      <c r="A71" s="6">
        <v>2023</v>
      </c>
      <c r="B71" s="7" t="s">
        <v>35</v>
      </c>
      <c r="C71" s="7" t="s">
        <v>82</v>
      </c>
      <c r="D71" s="7" t="s">
        <v>87</v>
      </c>
      <c r="E71" s="8">
        <v>-2000</v>
      </c>
      <c r="F71" s="6">
        <f t="shared" si="1"/>
        <v>11</v>
      </c>
    </row>
    <row r="72">
      <c r="A72" s="6">
        <v>2023</v>
      </c>
      <c r="B72" s="7" t="s">
        <v>35</v>
      </c>
      <c r="C72" s="7" t="s">
        <v>82</v>
      </c>
      <c r="D72" s="7" t="s">
        <v>88</v>
      </c>
      <c r="E72" s="8">
        <v>-500</v>
      </c>
      <c r="F72" s="6">
        <f t="shared" si="1"/>
        <v>11</v>
      </c>
    </row>
    <row r="73">
      <c r="A73" s="6">
        <v>2023</v>
      </c>
      <c r="B73" s="7" t="s">
        <v>35</v>
      </c>
      <c r="C73" s="7" t="s">
        <v>89</v>
      </c>
      <c r="D73" s="7" t="s">
        <v>90</v>
      </c>
      <c r="E73" s="8">
        <v>-41600</v>
      </c>
      <c r="F73" s="6">
        <f t="shared" si="1"/>
        <v>12</v>
      </c>
    </row>
    <row r="74">
      <c r="A74" s="6">
        <v>2023</v>
      </c>
      <c r="B74" s="7" t="s">
        <v>35</v>
      </c>
      <c r="C74" s="7" t="s">
        <v>89</v>
      </c>
      <c r="D74" s="7" t="s">
        <v>91</v>
      </c>
      <c r="E74" s="8">
        <v>-3182</v>
      </c>
      <c r="F74" s="6">
        <f t="shared" si="1"/>
        <v>12</v>
      </c>
    </row>
    <row r="75">
      <c r="A75" s="6">
        <v>2023</v>
      </c>
      <c r="B75" s="7" t="s">
        <v>35</v>
      </c>
      <c r="C75" s="7" t="s">
        <v>89</v>
      </c>
      <c r="D75" s="7" t="s">
        <v>92</v>
      </c>
      <c r="E75" s="8">
        <v>-1664</v>
      </c>
      <c r="F75" s="6">
        <f t="shared" ref="F75:F99" si="2">IF(C75=C74,F74,F74+1)</f>
        <v>12</v>
      </c>
    </row>
    <row r="76">
      <c r="A76" s="6">
        <v>2023</v>
      </c>
      <c r="B76" s="7" t="s">
        <v>35</v>
      </c>
      <c r="C76" s="7" t="s">
        <v>89</v>
      </c>
      <c r="D76" s="7" t="s">
        <v>93</v>
      </c>
      <c r="E76" s="8">
        <v>-1000</v>
      </c>
      <c r="F76" s="6">
        <f t="shared" si="2"/>
        <v>12</v>
      </c>
    </row>
    <row r="77">
      <c r="A77" s="6">
        <v>2023</v>
      </c>
      <c r="B77" s="7" t="s">
        <v>35</v>
      </c>
      <c r="C77" s="7" t="s">
        <v>94</v>
      </c>
      <c r="D77" s="7" t="s">
        <v>95</v>
      </c>
      <c r="E77" s="8">
        <v>-42120</v>
      </c>
      <c r="F77" s="6">
        <f t="shared" si="2"/>
        <v>13</v>
      </c>
    </row>
    <row r="78">
      <c r="A78" s="6">
        <v>2023</v>
      </c>
      <c r="B78" s="7" t="s">
        <v>35</v>
      </c>
      <c r="C78" s="7" t="s">
        <v>96</v>
      </c>
      <c r="D78" s="7" t="s">
        <v>97</v>
      </c>
      <c r="E78" s="8">
        <v>-200</v>
      </c>
      <c r="F78" s="6">
        <f t="shared" si="2"/>
        <v>14</v>
      </c>
    </row>
    <row r="79">
      <c r="A79" s="6">
        <v>2023</v>
      </c>
      <c r="B79" s="7" t="s">
        <v>35</v>
      </c>
      <c r="C79" s="7" t="s">
        <v>98</v>
      </c>
      <c r="D79" s="7" t="s">
        <v>99</v>
      </c>
      <c r="E79" s="8">
        <v>-1500</v>
      </c>
      <c r="F79" s="6">
        <f t="shared" si="2"/>
        <v>15</v>
      </c>
    </row>
    <row r="80">
      <c r="A80" s="6">
        <v>2023</v>
      </c>
      <c r="B80" s="7" t="s">
        <v>35</v>
      </c>
      <c r="C80" s="7" t="s">
        <v>98</v>
      </c>
      <c r="D80" s="7" t="s">
        <v>100</v>
      </c>
      <c r="E80" s="8">
        <v>-500</v>
      </c>
      <c r="F80" s="6">
        <f t="shared" si="2"/>
        <v>15</v>
      </c>
    </row>
    <row r="81">
      <c r="A81" s="6">
        <v>2023</v>
      </c>
      <c r="B81" s="7" t="s">
        <v>35</v>
      </c>
      <c r="C81" s="7" t="s">
        <v>98</v>
      </c>
      <c r="D81" s="7" t="s">
        <v>101</v>
      </c>
      <c r="E81" s="8">
        <v>-500</v>
      </c>
      <c r="F81" s="6">
        <f t="shared" si="2"/>
        <v>15</v>
      </c>
    </row>
    <row r="82">
      <c r="A82" s="6">
        <v>2023</v>
      </c>
      <c r="B82" s="7" t="s">
        <v>35</v>
      </c>
      <c r="C82" s="7" t="s">
        <v>98</v>
      </c>
      <c r="D82" s="7" t="s">
        <v>102</v>
      </c>
      <c r="E82" s="8">
        <v>-700</v>
      </c>
      <c r="F82" s="6">
        <f t="shared" si="2"/>
        <v>15</v>
      </c>
    </row>
    <row r="83">
      <c r="A83" s="6">
        <v>2023</v>
      </c>
      <c r="B83" s="7" t="s">
        <v>35</v>
      </c>
      <c r="C83" s="7" t="s">
        <v>103</v>
      </c>
      <c r="D83" s="7" t="s">
        <v>104</v>
      </c>
      <c r="E83" s="8">
        <v>-9000</v>
      </c>
      <c r="F83" s="6">
        <f t="shared" si="2"/>
        <v>16</v>
      </c>
    </row>
    <row r="84">
      <c r="A84" s="6">
        <v>2023</v>
      </c>
      <c r="B84" s="7" t="s">
        <v>35</v>
      </c>
      <c r="C84" s="7" t="s">
        <v>103</v>
      </c>
      <c r="D84" s="7" t="s">
        <v>105</v>
      </c>
      <c r="E84" s="8">
        <v>-37000</v>
      </c>
      <c r="F84" s="6">
        <f t="shared" si="2"/>
        <v>16</v>
      </c>
    </row>
    <row r="85">
      <c r="A85" s="6">
        <v>2023</v>
      </c>
      <c r="B85" s="7" t="s">
        <v>35</v>
      </c>
      <c r="C85" s="7" t="s">
        <v>103</v>
      </c>
      <c r="D85" s="7" t="s">
        <v>106</v>
      </c>
      <c r="E85" s="8">
        <v>-33000</v>
      </c>
      <c r="F85" s="6">
        <f t="shared" si="2"/>
        <v>16</v>
      </c>
    </row>
    <row r="86">
      <c r="A86" s="6">
        <v>2023</v>
      </c>
      <c r="B86" s="7" t="s">
        <v>35</v>
      </c>
      <c r="C86" s="7" t="s">
        <v>103</v>
      </c>
      <c r="D86" s="7" t="s">
        <v>107</v>
      </c>
      <c r="E86" s="8">
        <v>-1500</v>
      </c>
      <c r="F86" s="6">
        <f t="shared" si="2"/>
        <v>16</v>
      </c>
    </row>
    <row r="87">
      <c r="A87" s="6">
        <v>2023</v>
      </c>
      <c r="B87" s="7" t="s">
        <v>35</v>
      </c>
      <c r="C87" s="7" t="s">
        <v>103</v>
      </c>
      <c r="D87" s="7" t="s">
        <v>108</v>
      </c>
      <c r="E87" s="8">
        <v>-1000</v>
      </c>
      <c r="F87" s="6">
        <f t="shared" si="2"/>
        <v>16</v>
      </c>
    </row>
    <row r="88">
      <c r="A88" s="6">
        <v>2023</v>
      </c>
      <c r="B88" s="7" t="s">
        <v>35</v>
      </c>
      <c r="C88" s="7" t="s">
        <v>103</v>
      </c>
      <c r="D88" s="7" t="s">
        <v>109</v>
      </c>
      <c r="E88" s="8">
        <v>-2500</v>
      </c>
      <c r="F88" s="6">
        <f t="shared" si="2"/>
        <v>16</v>
      </c>
    </row>
    <row r="89">
      <c r="A89" s="6">
        <v>2023</v>
      </c>
      <c r="B89" s="7" t="s">
        <v>35</v>
      </c>
      <c r="C89" s="7" t="s">
        <v>103</v>
      </c>
      <c r="D89" s="7" t="s">
        <v>110</v>
      </c>
      <c r="E89" s="8">
        <v>-250</v>
      </c>
      <c r="F89" s="6">
        <f t="shared" si="2"/>
        <v>16</v>
      </c>
    </row>
    <row r="90">
      <c r="A90" s="6">
        <v>2023</v>
      </c>
      <c r="B90" s="7" t="s">
        <v>35</v>
      </c>
      <c r="C90" s="7" t="s">
        <v>103</v>
      </c>
      <c r="D90" s="7" t="s">
        <v>111</v>
      </c>
      <c r="E90" s="8">
        <v>-5000</v>
      </c>
      <c r="F90" s="6">
        <f t="shared" si="2"/>
        <v>16</v>
      </c>
    </row>
    <row r="91">
      <c r="A91" s="6">
        <v>2023</v>
      </c>
      <c r="B91" s="7" t="s">
        <v>35</v>
      </c>
      <c r="C91" s="7" t="s">
        <v>103</v>
      </c>
      <c r="D91" s="7" t="s">
        <v>112</v>
      </c>
      <c r="E91" s="8">
        <v>-200</v>
      </c>
      <c r="F91" s="6">
        <f t="shared" si="2"/>
        <v>16</v>
      </c>
    </row>
    <row r="92">
      <c r="A92" s="6">
        <v>2023</v>
      </c>
      <c r="B92" s="7" t="s">
        <v>35</v>
      </c>
      <c r="C92" s="7" t="s">
        <v>113</v>
      </c>
      <c r="D92" s="7" t="s">
        <v>114</v>
      </c>
      <c r="E92" s="8">
        <v>-1000</v>
      </c>
      <c r="F92" s="6">
        <f t="shared" si="2"/>
        <v>17</v>
      </c>
    </row>
    <row r="93">
      <c r="A93" s="6">
        <v>2023</v>
      </c>
      <c r="B93" s="7" t="s">
        <v>35</v>
      </c>
      <c r="C93" s="7" t="s">
        <v>113</v>
      </c>
      <c r="D93" s="7" t="s">
        <v>115</v>
      </c>
      <c r="E93" s="8">
        <v>-450</v>
      </c>
      <c r="F93" s="6">
        <f t="shared" si="2"/>
        <v>17</v>
      </c>
    </row>
    <row r="94">
      <c r="A94" s="6">
        <v>2023</v>
      </c>
      <c r="B94" s="7" t="s">
        <v>35</v>
      </c>
      <c r="C94" s="7" t="s">
        <v>113</v>
      </c>
      <c r="D94" s="7" t="s">
        <v>116</v>
      </c>
      <c r="E94" s="8">
        <v>-180</v>
      </c>
      <c r="F94" s="6">
        <f t="shared" si="2"/>
        <v>17</v>
      </c>
    </row>
    <row r="95">
      <c r="A95" s="6">
        <v>2023</v>
      </c>
      <c r="B95" s="7" t="s">
        <v>35</v>
      </c>
      <c r="C95" s="7" t="s">
        <v>113</v>
      </c>
      <c r="D95" s="7" t="s">
        <v>117</v>
      </c>
      <c r="E95" s="8">
        <v>-180</v>
      </c>
      <c r="F95" s="6">
        <f t="shared" si="2"/>
        <v>17</v>
      </c>
    </row>
    <row r="96">
      <c r="A96" s="6">
        <v>2023</v>
      </c>
      <c r="B96" s="7" t="s">
        <v>35</v>
      </c>
      <c r="C96" s="7" t="s">
        <v>118</v>
      </c>
      <c r="D96" s="7" t="s">
        <v>119</v>
      </c>
      <c r="E96" s="8">
        <v>-10000</v>
      </c>
      <c r="F96" s="6">
        <f t="shared" si="2"/>
        <v>18</v>
      </c>
    </row>
    <row r="97">
      <c r="A97" s="6">
        <v>2023</v>
      </c>
      <c r="B97" s="7" t="s">
        <v>35</v>
      </c>
      <c r="C97" s="7" t="s">
        <v>118</v>
      </c>
      <c r="D97" s="7" t="s">
        <v>120</v>
      </c>
      <c r="E97" s="8">
        <v>-14400</v>
      </c>
      <c r="F97" s="6">
        <f t="shared" si="2"/>
        <v>18</v>
      </c>
    </row>
    <row r="98">
      <c r="A98" s="6">
        <v>2023</v>
      </c>
      <c r="B98" s="7" t="s">
        <v>35</v>
      </c>
      <c r="C98" s="7" t="s">
        <v>118</v>
      </c>
      <c r="D98" s="7" t="s">
        <v>121</v>
      </c>
      <c r="E98" s="8">
        <v>-44800</v>
      </c>
      <c r="F98" s="6">
        <f t="shared" si="2"/>
        <v>18</v>
      </c>
    </row>
    <row r="99">
      <c r="A99" s="6">
        <v>2023</v>
      </c>
      <c r="B99" s="7" t="s">
        <v>35</v>
      </c>
      <c r="C99" s="7" t="s">
        <v>118</v>
      </c>
      <c r="D99" s="7" t="s">
        <v>122</v>
      </c>
      <c r="E99" s="8">
        <v>-20000</v>
      </c>
      <c r="F99" s="6">
        <f t="shared" si="2"/>
        <v>18</v>
      </c>
    </row>
    <row r="100">
      <c r="A100" s="6">
        <v>2023</v>
      </c>
      <c r="B100" s="7" t="s">
        <v>35</v>
      </c>
      <c r="C100" s="7" t="s">
        <v>118</v>
      </c>
      <c r="D100" s="7" t="s">
        <v>123</v>
      </c>
      <c r="E100" s="8">
        <v>-1600</v>
      </c>
      <c r="F100" s="6">
        <f>IF(C100=C99,F99,F99+1)</f>
        <v>18</v>
      </c>
    </row>
    <row r="101">
      <c r="A101" s="6">
        <v>2023</v>
      </c>
      <c r="B101" s="7" t="s">
        <v>35</v>
      </c>
      <c r="C101" s="7" t="s">
        <v>118</v>
      </c>
      <c r="D101" s="7" t="s">
        <v>124</v>
      </c>
      <c r="E101" s="8">
        <v>-1600</v>
      </c>
      <c r="F101" s="6">
        <f t="shared" ref="F101:F164" si="3">IF(C101=C100,F100,F100+1)</f>
        <v>18</v>
      </c>
    </row>
    <row r="102">
      <c r="A102" s="6">
        <v>2023</v>
      </c>
      <c r="B102" s="7" t="s">
        <v>35</v>
      </c>
      <c r="C102" s="7" t="s">
        <v>118</v>
      </c>
      <c r="D102" s="7" t="s">
        <v>125</v>
      </c>
      <c r="E102" s="8">
        <v>-7200</v>
      </c>
      <c r="F102" s="6">
        <f t="shared" si="3"/>
        <v>18</v>
      </c>
    </row>
    <row r="103">
      <c r="A103" s="6">
        <v>2023</v>
      </c>
      <c r="B103" s="7" t="s">
        <v>35</v>
      </c>
      <c r="C103" s="7" t="s">
        <v>118</v>
      </c>
      <c r="D103" s="7" t="s">
        <v>126</v>
      </c>
      <c r="E103" s="8">
        <v>-7200</v>
      </c>
      <c r="F103" s="6">
        <f t="shared" si="3"/>
        <v>18</v>
      </c>
    </row>
    <row r="104">
      <c r="A104" s="6">
        <v>2023</v>
      </c>
      <c r="B104" s="7" t="s">
        <v>35</v>
      </c>
      <c r="C104" s="7" t="s">
        <v>118</v>
      </c>
      <c r="D104" s="7" t="s">
        <v>127</v>
      </c>
      <c r="E104" s="8">
        <v>-10000</v>
      </c>
      <c r="F104" s="6">
        <f t="shared" si="3"/>
        <v>18</v>
      </c>
    </row>
    <row r="105">
      <c r="A105" s="6">
        <v>2023</v>
      </c>
      <c r="B105" s="7" t="s">
        <v>35</v>
      </c>
      <c r="C105" s="7" t="s">
        <v>128</v>
      </c>
      <c r="D105" s="7" t="s">
        <v>129</v>
      </c>
      <c r="E105" s="8">
        <v>-34600</v>
      </c>
      <c r="F105" s="6">
        <f t="shared" si="3"/>
        <v>19</v>
      </c>
    </row>
    <row r="106">
      <c r="A106" s="6">
        <v>2023</v>
      </c>
      <c r="B106" s="7" t="s">
        <v>35</v>
      </c>
      <c r="C106" s="7" t="s">
        <v>130</v>
      </c>
      <c r="D106" s="7" t="s">
        <v>131</v>
      </c>
      <c r="E106" s="8">
        <v>-1300</v>
      </c>
      <c r="F106" s="6">
        <f t="shared" si="3"/>
        <v>20</v>
      </c>
    </row>
    <row r="107">
      <c r="A107" s="6">
        <v>2023</v>
      </c>
      <c r="B107" s="7" t="s">
        <v>35</v>
      </c>
      <c r="C107" s="7" t="s">
        <v>130</v>
      </c>
      <c r="D107" s="7" t="s">
        <v>132</v>
      </c>
      <c r="E107" s="8">
        <v>-300</v>
      </c>
      <c r="F107" s="6">
        <f t="shared" si="3"/>
        <v>20</v>
      </c>
    </row>
    <row r="108">
      <c r="A108" s="6">
        <v>2023</v>
      </c>
      <c r="B108" s="7" t="s">
        <v>35</v>
      </c>
      <c r="C108" s="7" t="s">
        <v>130</v>
      </c>
      <c r="D108" s="7" t="s">
        <v>133</v>
      </c>
      <c r="E108" s="8">
        <v>-150</v>
      </c>
      <c r="F108" s="6">
        <f t="shared" si="3"/>
        <v>20</v>
      </c>
    </row>
    <row r="109">
      <c r="A109" s="6">
        <v>2023</v>
      </c>
      <c r="B109" s="7" t="s">
        <v>35</v>
      </c>
      <c r="C109" s="7" t="s">
        <v>130</v>
      </c>
      <c r="D109" s="7" t="s">
        <v>134</v>
      </c>
      <c r="E109" s="8">
        <v>-150</v>
      </c>
      <c r="F109" s="6">
        <f t="shared" si="3"/>
        <v>20</v>
      </c>
    </row>
    <row r="110">
      <c r="A110" s="6">
        <v>2023</v>
      </c>
      <c r="B110" s="7" t="s">
        <v>35</v>
      </c>
      <c r="C110" s="7" t="s">
        <v>135</v>
      </c>
      <c r="D110" s="7" t="s">
        <v>136</v>
      </c>
      <c r="E110" s="8">
        <v>-8000</v>
      </c>
      <c r="F110" s="6">
        <f t="shared" si="3"/>
        <v>21</v>
      </c>
    </row>
    <row r="111">
      <c r="A111" s="6">
        <v>2023</v>
      </c>
      <c r="B111" s="7" t="s">
        <v>35</v>
      </c>
      <c r="C111" s="7" t="s">
        <v>135</v>
      </c>
      <c r="D111" s="7" t="s">
        <v>137</v>
      </c>
      <c r="E111" s="8">
        <v>-200</v>
      </c>
      <c r="F111" s="6">
        <f t="shared" si="3"/>
        <v>21</v>
      </c>
    </row>
    <row r="112">
      <c r="A112" s="6">
        <v>2023</v>
      </c>
      <c r="B112" s="7" t="s">
        <v>35</v>
      </c>
      <c r="C112" s="7" t="s">
        <v>135</v>
      </c>
      <c r="D112" s="7" t="s">
        <v>138</v>
      </c>
      <c r="E112" s="8">
        <v>-1000</v>
      </c>
      <c r="F112" s="6">
        <f t="shared" si="3"/>
        <v>21</v>
      </c>
    </row>
    <row r="113">
      <c r="A113" s="6">
        <v>2023</v>
      </c>
      <c r="B113" s="7" t="s">
        <v>35</v>
      </c>
      <c r="C113" s="7" t="s">
        <v>135</v>
      </c>
      <c r="D113" s="7" t="s">
        <v>139</v>
      </c>
      <c r="E113" s="8">
        <v>-500</v>
      </c>
      <c r="F113" s="6">
        <f t="shared" si="3"/>
        <v>21</v>
      </c>
    </row>
    <row r="114">
      <c r="A114" s="6">
        <v>2023</v>
      </c>
      <c r="B114" s="7" t="s">
        <v>35</v>
      </c>
      <c r="C114" s="7" t="s">
        <v>140</v>
      </c>
      <c r="D114" s="7" t="s">
        <v>141</v>
      </c>
      <c r="E114" s="8">
        <v>-11600</v>
      </c>
      <c r="F114" s="6">
        <f t="shared" si="3"/>
        <v>22</v>
      </c>
    </row>
    <row r="115">
      <c r="A115" s="6">
        <v>2023</v>
      </c>
      <c r="B115" s="7" t="s">
        <v>35</v>
      </c>
      <c r="C115" s="7" t="s">
        <v>140</v>
      </c>
      <c r="D115" s="7" t="s">
        <v>142</v>
      </c>
      <c r="E115" s="8">
        <v>-100</v>
      </c>
      <c r="F115" s="6">
        <f t="shared" si="3"/>
        <v>22</v>
      </c>
    </row>
    <row r="116">
      <c r="A116" s="6">
        <v>2023</v>
      </c>
      <c r="B116" s="7" t="s">
        <v>35</v>
      </c>
      <c r="C116" s="7" t="s">
        <v>143</v>
      </c>
      <c r="D116" s="7" t="s">
        <v>144</v>
      </c>
      <c r="E116" s="8">
        <v>-2000</v>
      </c>
      <c r="F116" s="6">
        <f t="shared" si="3"/>
        <v>23</v>
      </c>
    </row>
    <row r="117">
      <c r="A117" s="6">
        <v>2023</v>
      </c>
      <c r="B117" s="7" t="s">
        <v>35</v>
      </c>
      <c r="C117" s="7" t="s">
        <v>143</v>
      </c>
      <c r="D117" s="7" t="s">
        <v>145</v>
      </c>
      <c r="E117" s="8">
        <v>-122</v>
      </c>
      <c r="F117" s="6">
        <f t="shared" si="3"/>
        <v>23</v>
      </c>
    </row>
    <row r="118">
      <c r="A118" s="6">
        <v>2023</v>
      </c>
      <c r="B118" s="7" t="s">
        <v>35</v>
      </c>
      <c r="C118" s="7" t="s">
        <v>143</v>
      </c>
      <c r="D118" s="7" t="s">
        <v>146</v>
      </c>
      <c r="E118" s="8">
        <v>-3660</v>
      </c>
      <c r="F118" s="6">
        <f t="shared" si="3"/>
        <v>23</v>
      </c>
    </row>
    <row r="119">
      <c r="A119" s="6">
        <v>2023</v>
      </c>
      <c r="B119" s="7" t="s">
        <v>35</v>
      </c>
      <c r="C119" s="7" t="s">
        <v>143</v>
      </c>
      <c r="D119" s="7" t="s">
        <v>147</v>
      </c>
      <c r="E119" s="8">
        <v>-122</v>
      </c>
      <c r="F119" s="6">
        <f t="shared" si="3"/>
        <v>23</v>
      </c>
    </row>
    <row r="120">
      <c r="A120" s="6">
        <v>2023</v>
      </c>
      <c r="B120" s="7" t="s">
        <v>35</v>
      </c>
      <c r="C120" s="7" t="s">
        <v>143</v>
      </c>
      <c r="D120" s="7" t="s">
        <v>148</v>
      </c>
      <c r="E120" s="8">
        <v>-610</v>
      </c>
      <c r="F120" s="6">
        <f t="shared" si="3"/>
        <v>23</v>
      </c>
    </row>
    <row r="121">
      <c r="A121" s="6">
        <v>2023</v>
      </c>
      <c r="B121" s="7" t="s">
        <v>35</v>
      </c>
      <c r="C121" s="7" t="s">
        <v>143</v>
      </c>
      <c r="D121" s="7" t="s">
        <v>149</v>
      </c>
      <c r="E121" s="8">
        <v>-500</v>
      </c>
      <c r="F121" s="6">
        <f t="shared" si="3"/>
        <v>23</v>
      </c>
    </row>
    <row r="122">
      <c r="A122" s="6">
        <v>2023</v>
      </c>
      <c r="B122" s="7" t="s">
        <v>35</v>
      </c>
      <c r="C122" s="7" t="s">
        <v>143</v>
      </c>
      <c r="D122" s="7" t="s">
        <v>150</v>
      </c>
      <c r="E122" s="8">
        <v>-1000</v>
      </c>
      <c r="F122" s="6">
        <f t="shared" si="3"/>
        <v>23</v>
      </c>
    </row>
    <row r="123">
      <c r="A123" s="6">
        <v>2023</v>
      </c>
      <c r="B123" s="7" t="s">
        <v>35</v>
      </c>
      <c r="C123" s="7" t="s">
        <v>143</v>
      </c>
      <c r="D123" s="7" t="s">
        <v>151</v>
      </c>
      <c r="E123" s="8">
        <v>-4545</v>
      </c>
      <c r="F123" s="6">
        <f t="shared" si="3"/>
        <v>23</v>
      </c>
    </row>
    <row r="124">
      <c r="A124" s="6">
        <v>2023</v>
      </c>
      <c r="B124" s="7" t="s">
        <v>35</v>
      </c>
      <c r="C124" s="7" t="s">
        <v>143</v>
      </c>
      <c r="D124" s="7" t="s">
        <v>152</v>
      </c>
      <c r="E124" s="8">
        <v>-12997</v>
      </c>
      <c r="F124" s="6">
        <f t="shared" si="3"/>
        <v>23</v>
      </c>
    </row>
    <row r="125">
      <c r="A125" s="6">
        <v>2023</v>
      </c>
      <c r="B125" s="7" t="s">
        <v>35</v>
      </c>
      <c r="C125" s="7" t="s">
        <v>143</v>
      </c>
      <c r="D125" s="7" t="s">
        <v>153</v>
      </c>
      <c r="E125" s="8">
        <v>-16819</v>
      </c>
      <c r="F125" s="6">
        <f t="shared" si="3"/>
        <v>23</v>
      </c>
    </row>
    <row r="126">
      <c r="A126" s="6">
        <v>2023</v>
      </c>
      <c r="B126" s="7" t="s">
        <v>35</v>
      </c>
      <c r="C126" s="7" t="s">
        <v>143</v>
      </c>
      <c r="D126" s="7" t="s">
        <v>154</v>
      </c>
      <c r="E126" s="8">
        <v>-671</v>
      </c>
      <c r="F126" s="6">
        <f t="shared" si="3"/>
        <v>23</v>
      </c>
    </row>
    <row r="127">
      <c r="A127" s="6">
        <v>2023</v>
      </c>
      <c r="B127" s="7" t="s">
        <v>35</v>
      </c>
      <c r="C127" s="7" t="s">
        <v>143</v>
      </c>
      <c r="D127" s="7" t="s">
        <v>155</v>
      </c>
      <c r="E127" s="8">
        <v>-7320</v>
      </c>
      <c r="F127" s="6">
        <f t="shared" si="3"/>
        <v>23</v>
      </c>
    </row>
    <row r="128">
      <c r="A128" s="6">
        <v>2023</v>
      </c>
      <c r="B128" s="7" t="s">
        <v>35</v>
      </c>
      <c r="C128" s="7" t="s">
        <v>143</v>
      </c>
      <c r="D128" s="7" t="s">
        <v>156</v>
      </c>
      <c r="E128" s="8">
        <v>-11346</v>
      </c>
      <c r="F128" s="6">
        <f t="shared" si="3"/>
        <v>23</v>
      </c>
    </row>
    <row r="129">
      <c r="A129" s="6">
        <v>2023</v>
      </c>
      <c r="B129" s="7" t="s">
        <v>35</v>
      </c>
      <c r="C129" s="7" t="s">
        <v>143</v>
      </c>
      <c r="D129" s="7" t="s">
        <v>157</v>
      </c>
      <c r="E129" s="8">
        <v>-610</v>
      </c>
      <c r="F129" s="6">
        <f t="shared" si="3"/>
        <v>23</v>
      </c>
    </row>
    <row r="130">
      <c r="A130" s="6">
        <v>2023</v>
      </c>
      <c r="B130" s="7" t="s">
        <v>35</v>
      </c>
      <c r="C130" s="7" t="s">
        <v>143</v>
      </c>
      <c r="D130" s="7" t="s">
        <v>158</v>
      </c>
      <c r="E130" s="8">
        <v>-1400</v>
      </c>
      <c r="F130" s="6">
        <f t="shared" si="3"/>
        <v>23</v>
      </c>
    </row>
    <row r="131">
      <c r="A131" s="6">
        <v>2023</v>
      </c>
      <c r="B131" s="7" t="s">
        <v>35</v>
      </c>
      <c r="C131" s="7" t="s">
        <v>143</v>
      </c>
      <c r="D131" s="7" t="s">
        <v>159</v>
      </c>
      <c r="E131" s="8">
        <v>-1000</v>
      </c>
      <c r="F131" s="6">
        <f t="shared" si="3"/>
        <v>23</v>
      </c>
    </row>
    <row r="132">
      <c r="A132" s="6">
        <v>2023</v>
      </c>
      <c r="B132" s="7" t="s">
        <v>35</v>
      </c>
      <c r="C132" s="7" t="s">
        <v>143</v>
      </c>
      <c r="D132" s="7" t="s">
        <v>160</v>
      </c>
      <c r="E132" s="8">
        <v>-12000</v>
      </c>
      <c r="F132" s="6">
        <f t="shared" si="3"/>
        <v>23</v>
      </c>
    </row>
    <row r="133">
      <c r="A133" s="6">
        <v>2023</v>
      </c>
      <c r="B133" s="7" t="s">
        <v>35</v>
      </c>
      <c r="C133" s="7" t="s">
        <v>143</v>
      </c>
      <c r="D133" s="7" t="s">
        <v>161</v>
      </c>
      <c r="E133" s="8">
        <v>-26300</v>
      </c>
      <c r="F133" s="6">
        <f t="shared" si="3"/>
        <v>23</v>
      </c>
    </row>
    <row r="134">
      <c r="A134" s="6">
        <v>2023</v>
      </c>
      <c r="B134" s="7" t="s">
        <v>35</v>
      </c>
      <c r="C134" s="7" t="s">
        <v>143</v>
      </c>
      <c r="D134" s="7" t="s">
        <v>162</v>
      </c>
      <c r="E134" s="8">
        <v>-8000</v>
      </c>
      <c r="F134" s="6">
        <f t="shared" si="3"/>
        <v>23</v>
      </c>
    </row>
    <row r="135">
      <c r="A135" s="6">
        <v>2023</v>
      </c>
      <c r="B135" s="7" t="s">
        <v>35</v>
      </c>
      <c r="C135" s="7" t="s">
        <v>143</v>
      </c>
      <c r="D135" s="7" t="s">
        <v>163</v>
      </c>
      <c r="E135" s="8">
        <v>-30900</v>
      </c>
      <c r="F135" s="6">
        <f t="shared" si="3"/>
        <v>23</v>
      </c>
    </row>
    <row r="136">
      <c r="A136" s="6">
        <v>2023</v>
      </c>
      <c r="B136" s="7" t="s">
        <v>35</v>
      </c>
      <c r="C136" s="7" t="s">
        <v>143</v>
      </c>
      <c r="D136" s="7" t="s">
        <v>164</v>
      </c>
      <c r="E136" s="8">
        <v>-2200</v>
      </c>
      <c r="F136" s="6">
        <f t="shared" si="3"/>
        <v>23</v>
      </c>
    </row>
    <row r="137">
      <c r="A137" s="6">
        <v>2023</v>
      </c>
      <c r="B137" s="7" t="s">
        <v>35</v>
      </c>
      <c r="C137" s="7" t="s">
        <v>143</v>
      </c>
      <c r="D137" s="7" t="s">
        <v>165</v>
      </c>
      <c r="E137" s="8">
        <v>-3500</v>
      </c>
      <c r="F137" s="6">
        <f t="shared" si="3"/>
        <v>23</v>
      </c>
    </row>
    <row r="138">
      <c r="A138" s="6">
        <v>2023</v>
      </c>
      <c r="B138" s="7" t="s">
        <v>35</v>
      </c>
      <c r="C138" s="7" t="s">
        <v>143</v>
      </c>
      <c r="D138" s="7" t="s">
        <v>166</v>
      </c>
      <c r="E138" s="8">
        <v>-2500</v>
      </c>
      <c r="F138" s="6">
        <f t="shared" si="3"/>
        <v>23</v>
      </c>
    </row>
    <row r="139">
      <c r="A139" s="6">
        <v>2023</v>
      </c>
      <c r="B139" s="7" t="s">
        <v>35</v>
      </c>
      <c r="C139" s="7" t="s">
        <v>143</v>
      </c>
      <c r="D139" s="7" t="s">
        <v>167</v>
      </c>
      <c r="E139" s="8">
        <v>-2500</v>
      </c>
      <c r="F139" s="6">
        <f t="shared" si="3"/>
        <v>23</v>
      </c>
    </row>
    <row r="140">
      <c r="A140" s="6">
        <v>2023</v>
      </c>
      <c r="B140" s="7" t="s">
        <v>35</v>
      </c>
      <c r="C140" s="7" t="s">
        <v>143</v>
      </c>
      <c r="D140" s="7" t="s">
        <v>168</v>
      </c>
      <c r="E140" s="8">
        <v>-3800</v>
      </c>
      <c r="F140" s="6">
        <f t="shared" si="3"/>
        <v>23</v>
      </c>
    </row>
    <row r="141">
      <c r="A141" s="6">
        <v>2023</v>
      </c>
      <c r="B141" s="7" t="s">
        <v>35</v>
      </c>
      <c r="C141" s="7" t="s">
        <v>143</v>
      </c>
      <c r="D141" s="7" t="s">
        <v>169</v>
      </c>
      <c r="E141" s="8">
        <v>-1000</v>
      </c>
      <c r="F141" s="6">
        <f t="shared" si="3"/>
        <v>23</v>
      </c>
    </row>
    <row r="142">
      <c r="A142" s="6">
        <v>2023</v>
      </c>
      <c r="B142" s="7" t="s">
        <v>35</v>
      </c>
      <c r="C142" s="7" t="s">
        <v>143</v>
      </c>
      <c r="D142" s="7" t="s">
        <v>170</v>
      </c>
      <c r="E142" s="8">
        <v>-20000</v>
      </c>
      <c r="F142" s="6">
        <f t="shared" si="3"/>
        <v>23</v>
      </c>
    </row>
    <row r="143">
      <c r="A143" s="6">
        <v>2023</v>
      </c>
      <c r="B143" s="7" t="s">
        <v>35</v>
      </c>
      <c r="C143" s="7" t="s">
        <v>143</v>
      </c>
      <c r="D143" s="7" t="s">
        <v>171</v>
      </c>
      <c r="E143" s="8">
        <v>-500</v>
      </c>
      <c r="F143" s="6">
        <f t="shared" si="3"/>
        <v>23</v>
      </c>
    </row>
    <row r="144">
      <c r="A144" s="6">
        <v>2023</v>
      </c>
      <c r="B144" s="7" t="s">
        <v>35</v>
      </c>
      <c r="C144" s="7" t="s">
        <v>172</v>
      </c>
      <c r="D144" s="7" t="s">
        <v>173</v>
      </c>
      <c r="E144" s="8">
        <v>-7449</v>
      </c>
      <c r="F144" s="6">
        <f t="shared" si="3"/>
        <v>24</v>
      </c>
    </row>
    <row r="145">
      <c r="A145" s="6">
        <v>2023</v>
      </c>
      <c r="B145" s="7" t="s">
        <v>35</v>
      </c>
      <c r="C145" s="7" t="s">
        <v>172</v>
      </c>
      <c r="D145" s="7" t="s">
        <v>174</v>
      </c>
      <c r="E145" s="8">
        <v>-93167</v>
      </c>
      <c r="F145" s="6">
        <f t="shared" si="3"/>
        <v>24</v>
      </c>
    </row>
    <row r="146">
      <c r="A146" s="6">
        <v>2023</v>
      </c>
      <c r="B146" s="7" t="s">
        <v>35</v>
      </c>
      <c r="C146" s="7" t="s">
        <v>172</v>
      </c>
      <c r="D146" s="7" t="s">
        <v>175</v>
      </c>
      <c r="E146" s="8">
        <v>-11000</v>
      </c>
      <c r="F146" s="6">
        <f t="shared" si="3"/>
        <v>24</v>
      </c>
    </row>
    <row r="147">
      <c r="A147" s="6">
        <v>2023</v>
      </c>
      <c r="B147" s="7" t="s">
        <v>35</v>
      </c>
      <c r="C147" s="7" t="s">
        <v>172</v>
      </c>
      <c r="D147" s="7" t="s">
        <v>176</v>
      </c>
      <c r="E147" s="8">
        <v>-3895</v>
      </c>
      <c r="F147" s="6">
        <f t="shared" si="3"/>
        <v>24</v>
      </c>
    </row>
    <row r="148">
      <c r="A148" s="6">
        <v>2023</v>
      </c>
      <c r="B148" s="7" t="s">
        <v>35</v>
      </c>
      <c r="C148" s="7" t="s">
        <v>172</v>
      </c>
      <c r="D148" s="7" t="s">
        <v>177</v>
      </c>
      <c r="E148" s="8">
        <v>-500</v>
      </c>
      <c r="F148" s="6">
        <f t="shared" si="3"/>
        <v>24</v>
      </c>
    </row>
    <row r="149">
      <c r="A149" s="6">
        <v>2023</v>
      </c>
      <c r="B149" s="7" t="s">
        <v>35</v>
      </c>
      <c r="C149" s="7" t="s">
        <v>178</v>
      </c>
      <c r="D149" s="7" t="s">
        <v>179</v>
      </c>
      <c r="E149" s="8">
        <v>-200</v>
      </c>
      <c r="F149" s="6">
        <f t="shared" si="3"/>
        <v>25</v>
      </c>
    </row>
    <row r="150">
      <c r="A150" s="6">
        <v>2023</v>
      </c>
      <c r="B150" s="7" t="s">
        <v>35</v>
      </c>
      <c r="C150" s="7" t="s">
        <v>178</v>
      </c>
      <c r="D150" s="7" t="s">
        <v>180</v>
      </c>
      <c r="E150" s="8">
        <v>-700</v>
      </c>
      <c r="F150" s="6">
        <f t="shared" si="3"/>
        <v>25</v>
      </c>
    </row>
    <row r="151">
      <c r="A151" s="6">
        <v>2023</v>
      </c>
      <c r="B151" s="7" t="s">
        <v>35</v>
      </c>
      <c r="C151" s="7" t="s">
        <v>178</v>
      </c>
      <c r="D151" s="7" t="s">
        <v>181</v>
      </c>
      <c r="E151" s="8">
        <v>-5000</v>
      </c>
      <c r="F151" s="6">
        <f t="shared" si="3"/>
        <v>25</v>
      </c>
    </row>
    <row r="152">
      <c r="A152" s="6">
        <v>2023</v>
      </c>
      <c r="B152" s="7" t="s">
        <v>35</v>
      </c>
      <c r="C152" s="7" t="s">
        <v>178</v>
      </c>
      <c r="D152" s="7" t="s">
        <v>182</v>
      </c>
      <c r="E152" s="8">
        <v>-3600</v>
      </c>
      <c r="F152" s="6">
        <f t="shared" si="3"/>
        <v>25</v>
      </c>
    </row>
    <row r="153">
      <c r="A153" s="6">
        <v>2023</v>
      </c>
      <c r="B153" s="7" t="s">
        <v>35</v>
      </c>
      <c r="C153" s="7" t="s">
        <v>178</v>
      </c>
      <c r="D153" s="7" t="s">
        <v>183</v>
      </c>
      <c r="E153" s="8">
        <v>-200</v>
      </c>
      <c r="F153" s="6">
        <f t="shared" si="3"/>
        <v>25</v>
      </c>
    </row>
    <row r="154">
      <c r="A154" s="6">
        <v>2023</v>
      </c>
      <c r="B154" s="7" t="s">
        <v>35</v>
      </c>
      <c r="C154" s="7" t="s">
        <v>178</v>
      </c>
      <c r="D154" s="7" t="s">
        <v>184</v>
      </c>
      <c r="E154" s="8">
        <v>-200</v>
      </c>
      <c r="F154" s="6">
        <f t="shared" si="3"/>
        <v>25</v>
      </c>
    </row>
    <row r="155">
      <c r="A155" s="6">
        <v>2023</v>
      </c>
      <c r="B155" s="7" t="s">
        <v>35</v>
      </c>
      <c r="C155" s="7" t="s">
        <v>178</v>
      </c>
      <c r="D155" s="7" t="s">
        <v>185</v>
      </c>
      <c r="E155" s="8">
        <v>-1000</v>
      </c>
      <c r="F155" s="6">
        <f t="shared" si="3"/>
        <v>25</v>
      </c>
    </row>
    <row r="156">
      <c r="A156" s="6">
        <v>2023</v>
      </c>
      <c r="B156" s="7" t="s">
        <v>35</v>
      </c>
      <c r="C156" s="7" t="s">
        <v>178</v>
      </c>
      <c r="D156" s="7" t="s">
        <v>186</v>
      </c>
      <c r="E156" s="8">
        <v>-200</v>
      </c>
      <c r="F156" s="6">
        <f t="shared" si="3"/>
        <v>25</v>
      </c>
    </row>
    <row r="157">
      <c r="A157" s="6">
        <v>2023</v>
      </c>
      <c r="B157" s="7" t="s">
        <v>35</v>
      </c>
      <c r="C157" s="7" t="s">
        <v>178</v>
      </c>
      <c r="D157" s="7" t="s">
        <v>187</v>
      </c>
      <c r="E157" s="8">
        <v>-200</v>
      </c>
      <c r="F157" s="6">
        <f t="shared" si="3"/>
        <v>25</v>
      </c>
    </row>
    <row r="158">
      <c r="A158" s="6">
        <v>2023</v>
      </c>
      <c r="B158" s="7" t="s">
        <v>35</v>
      </c>
      <c r="C158" s="7" t="s">
        <v>178</v>
      </c>
      <c r="D158" s="7" t="s">
        <v>188</v>
      </c>
      <c r="E158" s="8">
        <v>-200</v>
      </c>
      <c r="F158" s="6">
        <f t="shared" si="3"/>
        <v>25</v>
      </c>
    </row>
    <row r="159">
      <c r="A159" s="6">
        <v>2023</v>
      </c>
      <c r="B159" s="7" t="s">
        <v>35</v>
      </c>
      <c r="C159" s="7" t="s">
        <v>178</v>
      </c>
      <c r="D159" s="7" t="s">
        <v>189</v>
      </c>
      <c r="E159" s="8">
        <v>-2400</v>
      </c>
      <c r="F159" s="6">
        <f t="shared" si="3"/>
        <v>25</v>
      </c>
    </row>
    <row r="160">
      <c r="A160" s="6">
        <v>2023</v>
      </c>
      <c r="B160" s="7" t="s">
        <v>35</v>
      </c>
      <c r="C160" s="7" t="s">
        <v>178</v>
      </c>
      <c r="D160" s="7" t="s">
        <v>190</v>
      </c>
      <c r="E160" s="8">
        <v>-300</v>
      </c>
      <c r="F160" s="6">
        <f t="shared" si="3"/>
        <v>25</v>
      </c>
    </row>
    <row r="161">
      <c r="A161" s="6">
        <v>2023</v>
      </c>
      <c r="B161" s="7" t="s">
        <v>35</v>
      </c>
      <c r="C161" s="7" t="s">
        <v>178</v>
      </c>
      <c r="D161" s="7" t="s">
        <v>191</v>
      </c>
      <c r="E161" s="8">
        <v>-200</v>
      </c>
      <c r="F161" s="6">
        <f t="shared" si="3"/>
        <v>25</v>
      </c>
    </row>
    <row r="162">
      <c r="A162" s="6">
        <v>2023</v>
      </c>
      <c r="B162" s="7" t="s">
        <v>35</v>
      </c>
      <c r="C162" s="7" t="s">
        <v>178</v>
      </c>
      <c r="D162" s="7" t="s">
        <v>192</v>
      </c>
      <c r="E162" s="8">
        <v>-100</v>
      </c>
      <c r="F162" s="6">
        <f t="shared" si="3"/>
        <v>25</v>
      </c>
    </row>
    <row r="163">
      <c r="A163" s="6">
        <v>2023</v>
      </c>
      <c r="B163" s="7" t="s">
        <v>35</v>
      </c>
      <c r="C163" s="7" t="s">
        <v>178</v>
      </c>
      <c r="D163" s="7" t="s">
        <v>193</v>
      </c>
      <c r="E163" s="8">
        <v>-9000</v>
      </c>
      <c r="F163" s="6">
        <f t="shared" si="3"/>
        <v>25</v>
      </c>
    </row>
    <row r="164">
      <c r="A164" s="6">
        <v>2023</v>
      </c>
      <c r="B164" s="7" t="s">
        <v>35</v>
      </c>
      <c r="C164" s="7" t="s">
        <v>178</v>
      </c>
      <c r="D164" s="7" t="s">
        <v>194</v>
      </c>
      <c r="E164" s="8">
        <v>0</v>
      </c>
      <c r="F164" s="6">
        <f t="shared" si="3"/>
        <v>25</v>
      </c>
    </row>
    <row r="165">
      <c r="A165" s="6">
        <v>2023</v>
      </c>
      <c r="B165" s="7" t="s">
        <v>35</v>
      </c>
      <c r="C165" s="7" t="s">
        <v>178</v>
      </c>
      <c r="D165" s="7" t="s">
        <v>194</v>
      </c>
      <c r="E165" s="8">
        <v>-1100</v>
      </c>
      <c r="F165" s="6">
        <f t="shared" ref="F165:F228" si="4">IF(C165=C164,F164,F164+1)</f>
        <v>25</v>
      </c>
    </row>
    <row r="166">
      <c r="A166" s="6">
        <v>2023</v>
      </c>
      <c r="B166" s="7" t="s">
        <v>35</v>
      </c>
      <c r="C166" s="7" t="s">
        <v>178</v>
      </c>
      <c r="D166" s="7" t="s">
        <v>195</v>
      </c>
      <c r="E166" s="8">
        <v>0</v>
      </c>
      <c r="F166" s="6">
        <f t="shared" si="4"/>
        <v>25</v>
      </c>
    </row>
    <row r="167">
      <c r="A167" s="6">
        <v>2023</v>
      </c>
      <c r="B167" s="7" t="s">
        <v>35</v>
      </c>
      <c r="C167" s="7" t="s">
        <v>178</v>
      </c>
      <c r="D167" s="7" t="s">
        <v>195</v>
      </c>
      <c r="E167" s="8">
        <v>-5000</v>
      </c>
      <c r="F167" s="6">
        <f t="shared" si="4"/>
        <v>25</v>
      </c>
    </row>
    <row r="168">
      <c r="A168" s="6">
        <v>2023</v>
      </c>
      <c r="B168" s="7" t="s">
        <v>35</v>
      </c>
      <c r="C168" s="7" t="s">
        <v>178</v>
      </c>
      <c r="D168" s="7" t="s">
        <v>196</v>
      </c>
      <c r="E168" s="8">
        <v>-13000</v>
      </c>
      <c r="F168" s="6">
        <f t="shared" si="4"/>
        <v>25</v>
      </c>
    </row>
    <row r="169">
      <c r="A169" s="6">
        <v>2023</v>
      </c>
      <c r="B169" s="7" t="s">
        <v>35</v>
      </c>
      <c r="C169" s="7" t="s">
        <v>178</v>
      </c>
      <c r="D169" s="7" t="s">
        <v>197</v>
      </c>
      <c r="E169" s="8">
        <v>-3000</v>
      </c>
      <c r="F169" s="6">
        <f t="shared" si="4"/>
        <v>25</v>
      </c>
    </row>
    <row r="170">
      <c r="A170" s="6">
        <v>2023</v>
      </c>
      <c r="B170" s="7" t="s">
        <v>35</v>
      </c>
      <c r="C170" s="7" t="s">
        <v>178</v>
      </c>
      <c r="D170" s="7" t="s">
        <v>198</v>
      </c>
      <c r="E170" s="8">
        <v>-1500</v>
      </c>
      <c r="F170" s="6">
        <f t="shared" si="4"/>
        <v>25</v>
      </c>
    </row>
    <row r="171">
      <c r="A171" s="6">
        <v>2023</v>
      </c>
      <c r="B171" s="7" t="s">
        <v>35</v>
      </c>
      <c r="C171" s="7" t="s">
        <v>178</v>
      </c>
      <c r="D171" s="7" t="s">
        <v>199</v>
      </c>
      <c r="E171" s="8">
        <v>-200</v>
      </c>
      <c r="F171" s="6">
        <f t="shared" si="4"/>
        <v>25</v>
      </c>
    </row>
    <row r="172">
      <c r="A172" s="6">
        <v>2023</v>
      </c>
      <c r="B172" s="7" t="s">
        <v>35</v>
      </c>
      <c r="C172" s="7" t="s">
        <v>178</v>
      </c>
      <c r="D172" s="7" t="s">
        <v>200</v>
      </c>
      <c r="E172" s="8">
        <v>-1300</v>
      </c>
      <c r="F172" s="6">
        <f t="shared" si="4"/>
        <v>25</v>
      </c>
    </row>
    <row r="173">
      <c r="A173" s="6">
        <v>2023</v>
      </c>
      <c r="B173" s="7" t="s">
        <v>35</v>
      </c>
      <c r="C173" s="7" t="s">
        <v>178</v>
      </c>
      <c r="D173" s="7" t="s">
        <v>201</v>
      </c>
      <c r="E173" s="8">
        <v>-2000</v>
      </c>
      <c r="F173" s="6">
        <f t="shared" si="4"/>
        <v>25</v>
      </c>
    </row>
    <row r="174">
      <c r="A174" s="6">
        <v>2023</v>
      </c>
      <c r="B174" s="7" t="s">
        <v>35</v>
      </c>
      <c r="C174" s="7" t="s">
        <v>178</v>
      </c>
      <c r="D174" s="7" t="s">
        <v>202</v>
      </c>
      <c r="E174" s="8">
        <v>-910</v>
      </c>
      <c r="F174" s="6">
        <f t="shared" si="4"/>
        <v>25</v>
      </c>
    </row>
    <row r="175">
      <c r="A175" s="6">
        <v>2023</v>
      </c>
      <c r="B175" s="7" t="s">
        <v>35</v>
      </c>
      <c r="C175" s="7" t="s">
        <v>203</v>
      </c>
      <c r="D175" s="7" t="s">
        <v>204</v>
      </c>
      <c r="E175" s="8">
        <v>-3786</v>
      </c>
      <c r="F175" s="6">
        <f t="shared" si="4"/>
        <v>26</v>
      </c>
    </row>
    <row r="176">
      <c r="A176" s="6">
        <v>2023</v>
      </c>
      <c r="B176" s="7" t="s">
        <v>35</v>
      </c>
      <c r="C176" s="7" t="s">
        <v>203</v>
      </c>
      <c r="D176" s="7" t="s">
        <v>205</v>
      </c>
      <c r="E176" s="8">
        <v>-49502</v>
      </c>
      <c r="F176" s="6">
        <f t="shared" si="4"/>
        <v>26</v>
      </c>
    </row>
    <row r="177">
      <c r="A177" s="6">
        <v>2023</v>
      </c>
      <c r="B177" s="7" t="s">
        <v>35</v>
      </c>
      <c r="C177" s="7" t="s">
        <v>203</v>
      </c>
      <c r="D177" s="7" t="s">
        <v>206</v>
      </c>
      <c r="E177" s="8">
        <v>-1000</v>
      </c>
      <c r="F177" s="6">
        <f t="shared" si="4"/>
        <v>26</v>
      </c>
    </row>
    <row r="178">
      <c r="A178" s="6">
        <v>2023</v>
      </c>
      <c r="B178" s="7" t="s">
        <v>35</v>
      </c>
      <c r="C178" s="7" t="s">
        <v>207</v>
      </c>
      <c r="D178" s="7" t="s">
        <v>208</v>
      </c>
      <c r="E178" s="8">
        <v>-2200</v>
      </c>
      <c r="F178" s="6">
        <f t="shared" si="4"/>
        <v>27</v>
      </c>
    </row>
    <row r="179">
      <c r="A179" s="6">
        <v>2023</v>
      </c>
      <c r="B179" s="7" t="s">
        <v>35</v>
      </c>
      <c r="C179" s="7" t="s">
        <v>207</v>
      </c>
      <c r="D179" s="7" t="s">
        <v>209</v>
      </c>
      <c r="E179" s="8">
        <v>-57500</v>
      </c>
      <c r="F179" s="6">
        <f t="shared" si="4"/>
        <v>27</v>
      </c>
    </row>
    <row r="180">
      <c r="A180" s="6">
        <v>2023</v>
      </c>
      <c r="B180" s="7" t="s">
        <v>35</v>
      </c>
      <c r="C180" s="7" t="s">
        <v>207</v>
      </c>
      <c r="D180" s="7" t="s">
        <v>210</v>
      </c>
      <c r="E180" s="8">
        <v>-10000</v>
      </c>
      <c r="F180" s="6">
        <f t="shared" si="4"/>
        <v>27</v>
      </c>
    </row>
    <row r="181">
      <c r="A181" s="6">
        <v>2023</v>
      </c>
      <c r="B181" s="7" t="s">
        <v>35</v>
      </c>
      <c r="C181" s="7" t="s">
        <v>207</v>
      </c>
      <c r="D181" s="7" t="s">
        <v>211</v>
      </c>
      <c r="E181" s="8">
        <v>-13300</v>
      </c>
      <c r="F181" s="6">
        <f t="shared" si="4"/>
        <v>27</v>
      </c>
    </row>
    <row r="182">
      <c r="A182" s="6">
        <v>2023</v>
      </c>
      <c r="B182" s="7" t="s">
        <v>35</v>
      </c>
      <c r="C182" s="7" t="s">
        <v>207</v>
      </c>
      <c r="D182" s="7" t="s">
        <v>212</v>
      </c>
      <c r="E182" s="8">
        <v>-7268</v>
      </c>
      <c r="F182" s="6">
        <f t="shared" si="4"/>
        <v>27</v>
      </c>
    </row>
    <row r="183">
      <c r="A183" s="6">
        <v>2023</v>
      </c>
      <c r="B183" s="7" t="s">
        <v>35</v>
      </c>
      <c r="C183" s="7" t="s">
        <v>207</v>
      </c>
      <c r="D183" s="7" t="s">
        <v>213</v>
      </c>
      <c r="E183" s="8">
        <v>-5000</v>
      </c>
      <c r="F183" s="6">
        <f t="shared" si="4"/>
        <v>27</v>
      </c>
    </row>
    <row r="184">
      <c r="A184" s="6">
        <v>2023</v>
      </c>
      <c r="B184" s="7" t="s">
        <v>35</v>
      </c>
      <c r="C184" s="7" t="s">
        <v>207</v>
      </c>
      <c r="D184" s="7" t="s">
        <v>214</v>
      </c>
      <c r="E184" s="8">
        <v>-37500</v>
      </c>
      <c r="F184" s="6">
        <f t="shared" si="4"/>
        <v>27</v>
      </c>
    </row>
    <row r="185">
      <c r="A185" s="6">
        <v>2023</v>
      </c>
      <c r="B185" s="7" t="s">
        <v>35</v>
      </c>
      <c r="C185" s="7" t="s">
        <v>207</v>
      </c>
      <c r="D185" s="7" t="s">
        <v>215</v>
      </c>
      <c r="E185" s="8">
        <v>-1425</v>
      </c>
      <c r="F185" s="6">
        <f t="shared" si="4"/>
        <v>27</v>
      </c>
    </row>
    <row r="186">
      <c r="A186" s="6">
        <v>2023</v>
      </c>
      <c r="B186" s="7" t="s">
        <v>35</v>
      </c>
      <c r="C186" s="7" t="s">
        <v>216</v>
      </c>
      <c r="D186" s="7" t="s">
        <v>217</v>
      </c>
      <c r="E186" s="8">
        <v>0</v>
      </c>
      <c r="F186" s="6">
        <f t="shared" si="4"/>
        <v>28</v>
      </c>
    </row>
    <row r="187">
      <c r="A187" s="6">
        <v>2023</v>
      </c>
      <c r="B187" s="7" t="s">
        <v>35</v>
      </c>
      <c r="C187" s="7" t="s">
        <v>216</v>
      </c>
      <c r="D187" s="7" t="s">
        <v>218</v>
      </c>
      <c r="E187" s="8">
        <v>-200</v>
      </c>
      <c r="F187" s="6">
        <f t="shared" si="4"/>
        <v>28</v>
      </c>
    </row>
    <row r="188">
      <c r="A188" s="6">
        <v>2023</v>
      </c>
      <c r="B188" s="7" t="s">
        <v>35</v>
      </c>
      <c r="C188" s="7" t="s">
        <v>216</v>
      </c>
      <c r="D188" s="7" t="s">
        <v>219</v>
      </c>
      <c r="E188" s="8">
        <v>-250</v>
      </c>
      <c r="F188" s="6">
        <f t="shared" si="4"/>
        <v>28</v>
      </c>
      <c r="H188" s="9"/>
    </row>
    <row r="189">
      <c r="A189" s="6">
        <v>2023</v>
      </c>
      <c r="B189" s="7" t="s">
        <v>35</v>
      </c>
      <c r="C189" s="7" t="s">
        <v>216</v>
      </c>
      <c r="D189" s="7" t="s">
        <v>220</v>
      </c>
      <c r="E189" s="8">
        <v>0</v>
      </c>
      <c r="F189" s="6">
        <f t="shared" si="4"/>
        <v>28</v>
      </c>
    </row>
    <row r="190">
      <c r="A190" s="6">
        <v>2023</v>
      </c>
      <c r="B190" s="7" t="s">
        <v>35</v>
      </c>
      <c r="C190" s="7" t="s">
        <v>216</v>
      </c>
      <c r="D190" s="7" t="s">
        <v>221</v>
      </c>
      <c r="E190" s="8">
        <v>-1300</v>
      </c>
      <c r="F190" s="6">
        <f t="shared" si="4"/>
        <v>28</v>
      </c>
    </row>
    <row r="191">
      <c r="A191" s="6">
        <v>2023</v>
      </c>
      <c r="B191" s="7" t="s">
        <v>35</v>
      </c>
      <c r="C191" s="7" t="s">
        <v>216</v>
      </c>
      <c r="D191" s="7" t="s">
        <v>222</v>
      </c>
      <c r="E191" s="8">
        <v>-3000</v>
      </c>
      <c r="F191" s="6">
        <f t="shared" si="4"/>
        <v>28</v>
      </c>
    </row>
    <row r="192">
      <c r="A192" s="6">
        <v>2023</v>
      </c>
      <c r="B192" s="7" t="s">
        <v>35</v>
      </c>
      <c r="C192" s="7" t="s">
        <v>216</v>
      </c>
      <c r="D192" s="7" t="s">
        <v>223</v>
      </c>
      <c r="E192" s="8">
        <v>-1400</v>
      </c>
      <c r="F192" s="6">
        <f t="shared" si="4"/>
        <v>28</v>
      </c>
    </row>
    <row r="193">
      <c r="A193" s="6">
        <v>2023</v>
      </c>
      <c r="B193" s="7" t="s">
        <v>35</v>
      </c>
      <c r="C193" s="7" t="s">
        <v>216</v>
      </c>
      <c r="D193" s="7" t="s">
        <v>224</v>
      </c>
      <c r="E193" s="8">
        <v>-200</v>
      </c>
      <c r="F193" s="6">
        <f t="shared" si="4"/>
        <v>28</v>
      </c>
    </row>
    <row r="194">
      <c r="A194" s="6">
        <v>2023</v>
      </c>
      <c r="B194" s="7" t="s">
        <v>35</v>
      </c>
      <c r="C194" s="7" t="s">
        <v>216</v>
      </c>
      <c r="D194" s="7" t="s">
        <v>225</v>
      </c>
      <c r="E194" s="8">
        <v>-300</v>
      </c>
      <c r="F194" s="6">
        <f t="shared" si="4"/>
        <v>28</v>
      </c>
    </row>
    <row r="195">
      <c r="A195" s="6">
        <v>2023</v>
      </c>
      <c r="B195" s="7" t="s">
        <v>35</v>
      </c>
      <c r="C195" s="7" t="s">
        <v>216</v>
      </c>
      <c r="D195" s="7" t="s">
        <v>226</v>
      </c>
      <c r="E195" s="8">
        <v>-3500</v>
      </c>
      <c r="F195" s="6">
        <f t="shared" si="4"/>
        <v>28</v>
      </c>
    </row>
    <row r="196">
      <c r="A196" s="6">
        <v>2023</v>
      </c>
      <c r="B196" s="7" t="s">
        <v>35</v>
      </c>
      <c r="C196" s="7" t="s">
        <v>216</v>
      </c>
      <c r="D196" s="7" t="s">
        <v>227</v>
      </c>
      <c r="E196" s="8">
        <v>-150</v>
      </c>
      <c r="F196" s="6">
        <f t="shared" si="4"/>
        <v>28</v>
      </c>
    </row>
    <row r="197">
      <c r="A197" s="6">
        <v>2023</v>
      </c>
      <c r="B197" s="7" t="s">
        <v>35</v>
      </c>
      <c r="C197" s="7" t="s">
        <v>216</v>
      </c>
      <c r="D197" s="7" t="s">
        <v>228</v>
      </c>
      <c r="E197" s="8">
        <v>-200</v>
      </c>
      <c r="F197" s="6">
        <f t="shared" si="4"/>
        <v>28</v>
      </c>
    </row>
    <row r="198">
      <c r="A198" s="6">
        <v>2023</v>
      </c>
      <c r="B198" s="7" t="s">
        <v>35</v>
      </c>
      <c r="C198" s="7" t="s">
        <v>216</v>
      </c>
      <c r="D198" s="7" t="s">
        <v>229</v>
      </c>
      <c r="E198" s="8">
        <v>-300</v>
      </c>
      <c r="F198" s="6">
        <f t="shared" si="4"/>
        <v>28</v>
      </c>
    </row>
    <row r="199">
      <c r="A199" s="6">
        <v>2023</v>
      </c>
      <c r="B199" s="7" t="s">
        <v>35</v>
      </c>
      <c r="C199" s="7" t="s">
        <v>216</v>
      </c>
      <c r="D199" s="7" t="s">
        <v>230</v>
      </c>
      <c r="E199" s="8">
        <v>-200</v>
      </c>
      <c r="F199" s="6">
        <f t="shared" si="4"/>
        <v>28</v>
      </c>
    </row>
    <row r="200">
      <c r="A200" s="6">
        <v>2023</v>
      </c>
      <c r="B200" s="7" t="s">
        <v>35</v>
      </c>
      <c r="C200" s="7" t="s">
        <v>216</v>
      </c>
      <c r="D200" s="7" t="s">
        <v>231</v>
      </c>
      <c r="E200" s="8">
        <v>-800</v>
      </c>
      <c r="F200" s="6">
        <f t="shared" si="4"/>
        <v>28</v>
      </c>
    </row>
    <row r="201">
      <c r="A201" s="6">
        <v>2023</v>
      </c>
      <c r="B201" s="7" t="s">
        <v>35</v>
      </c>
      <c r="C201" s="7" t="s">
        <v>232</v>
      </c>
      <c r="D201" s="7" t="s">
        <v>233</v>
      </c>
      <c r="E201" s="8">
        <v>-3596</v>
      </c>
      <c r="F201" s="6">
        <f t="shared" si="4"/>
        <v>29</v>
      </c>
    </row>
    <row r="202">
      <c r="A202" s="6">
        <v>2023</v>
      </c>
      <c r="B202" s="7" t="s">
        <v>35</v>
      </c>
      <c r="C202" s="7" t="s">
        <v>232</v>
      </c>
      <c r="D202" s="7" t="s">
        <v>234</v>
      </c>
      <c r="E202" s="8">
        <v>-47000</v>
      </c>
      <c r="F202" s="6">
        <f t="shared" si="4"/>
        <v>29</v>
      </c>
    </row>
    <row r="203">
      <c r="A203" s="6">
        <v>2023</v>
      </c>
      <c r="B203" s="7" t="s">
        <v>35</v>
      </c>
      <c r="C203" s="7" t="s">
        <v>232</v>
      </c>
      <c r="D203" s="7" t="s">
        <v>235</v>
      </c>
      <c r="E203" s="8">
        <v>-1880</v>
      </c>
      <c r="F203" s="6">
        <f t="shared" si="4"/>
        <v>29</v>
      </c>
    </row>
    <row r="204">
      <c r="A204" s="6">
        <v>2023</v>
      </c>
      <c r="B204" s="7" t="s">
        <v>35</v>
      </c>
      <c r="C204" s="7" t="s">
        <v>232</v>
      </c>
      <c r="D204" s="7" t="s">
        <v>236</v>
      </c>
      <c r="E204" s="8">
        <v>-1000</v>
      </c>
      <c r="F204" s="6">
        <f t="shared" si="4"/>
        <v>29</v>
      </c>
    </row>
    <row r="205">
      <c r="A205" s="6">
        <v>2024</v>
      </c>
      <c r="B205" s="10" t="s">
        <v>5</v>
      </c>
      <c r="C205" s="10" t="s">
        <v>237</v>
      </c>
      <c r="D205" s="10" t="s">
        <v>7</v>
      </c>
      <c r="E205" s="11">
        <v>14000</v>
      </c>
      <c r="F205" s="6">
        <f t="shared" si="4"/>
        <v>30</v>
      </c>
    </row>
    <row r="206">
      <c r="A206" s="6">
        <v>2024</v>
      </c>
      <c r="B206" s="10" t="s">
        <v>5</v>
      </c>
      <c r="C206" s="10" t="s">
        <v>238</v>
      </c>
      <c r="D206" s="10" t="s">
        <v>8</v>
      </c>
      <c r="E206" s="11">
        <v>369050.00000000012</v>
      </c>
      <c r="F206" s="6">
        <f t="shared" si="4"/>
        <v>31</v>
      </c>
    </row>
    <row r="207">
      <c r="A207" s="6">
        <v>2024</v>
      </c>
      <c r="B207" s="10" t="s">
        <v>5</v>
      </c>
      <c r="C207" s="10" t="s">
        <v>238</v>
      </c>
      <c r="D207" s="10" t="s">
        <v>9</v>
      </c>
      <c r="E207" s="11">
        <v>8000</v>
      </c>
      <c r="F207" s="6">
        <f t="shared" si="4"/>
        <v>31</v>
      </c>
    </row>
    <row r="208">
      <c r="A208" s="6">
        <v>2024</v>
      </c>
      <c r="B208" s="10" t="s">
        <v>5</v>
      </c>
      <c r="C208" s="10" t="s">
        <v>238</v>
      </c>
      <c r="D208" s="10" t="s">
        <v>10</v>
      </c>
      <c r="E208" s="11">
        <v>10000</v>
      </c>
      <c r="F208" s="6">
        <f t="shared" si="4"/>
        <v>31</v>
      </c>
    </row>
    <row r="209">
      <c r="A209" s="6">
        <v>2024</v>
      </c>
      <c r="B209" s="6" t="s">
        <v>5</v>
      </c>
      <c r="C209" s="10" t="s">
        <v>238</v>
      </c>
      <c r="D209" s="10" t="s">
        <v>239</v>
      </c>
      <c r="E209" s="11">
        <v>3000</v>
      </c>
      <c r="F209" s="6">
        <f t="shared" si="4"/>
        <v>31</v>
      </c>
    </row>
    <row r="210">
      <c r="A210" s="6">
        <v>2024</v>
      </c>
      <c r="B210" s="10" t="s">
        <v>5</v>
      </c>
      <c r="C210" s="10" t="s">
        <v>238</v>
      </c>
      <c r="D210" s="10" t="s">
        <v>240</v>
      </c>
      <c r="E210" s="11">
        <v>3000</v>
      </c>
      <c r="F210" s="6">
        <f t="shared" si="4"/>
        <v>31</v>
      </c>
    </row>
    <row r="211">
      <c r="A211" s="6">
        <v>2024</v>
      </c>
      <c r="B211" s="10" t="s">
        <v>5</v>
      </c>
      <c r="C211" s="10" t="s">
        <v>238</v>
      </c>
      <c r="D211" s="10" t="s">
        <v>241</v>
      </c>
      <c r="E211" s="11">
        <v>3000</v>
      </c>
      <c r="F211" s="6">
        <f t="shared" si="4"/>
        <v>31</v>
      </c>
    </row>
    <row r="212" ht="12.75">
      <c r="A212" s="6">
        <v>2024</v>
      </c>
      <c r="B212" s="10" t="s">
        <v>5</v>
      </c>
      <c r="C212" s="10" t="s">
        <v>238</v>
      </c>
      <c r="D212" s="10" t="s">
        <v>11</v>
      </c>
      <c r="E212" s="11">
        <v>1000</v>
      </c>
      <c r="F212" s="6">
        <f t="shared" si="4"/>
        <v>31</v>
      </c>
    </row>
    <row r="213" ht="12.75">
      <c r="A213" s="6">
        <v>2024</v>
      </c>
      <c r="B213" s="10" t="s">
        <v>5</v>
      </c>
      <c r="C213" s="10" t="s">
        <v>238</v>
      </c>
      <c r="D213" s="10" t="s">
        <v>12</v>
      </c>
      <c r="E213" s="11">
        <v>32500</v>
      </c>
      <c r="F213" s="6">
        <f t="shared" si="4"/>
        <v>31</v>
      </c>
    </row>
    <row r="214" ht="12.75">
      <c r="A214" s="6">
        <v>2024</v>
      </c>
      <c r="B214" s="10" t="s">
        <v>5</v>
      </c>
      <c r="C214" s="10" t="s">
        <v>238</v>
      </c>
      <c r="D214" s="10" t="s">
        <v>16</v>
      </c>
      <c r="E214" s="11">
        <v>10000</v>
      </c>
      <c r="F214" s="6">
        <f t="shared" si="4"/>
        <v>31</v>
      </c>
    </row>
    <row r="215" ht="12.75">
      <c r="A215" s="6">
        <v>2024</v>
      </c>
      <c r="B215" s="10" t="s">
        <v>5</v>
      </c>
      <c r="C215" s="10" t="s">
        <v>238</v>
      </c>
      <c r="D215" s="10" t="s">
        <v>242</v>
      </c>
      <c r="E215" s="11">
        <v>200</v>
      </c>
      <c r="F215" s="6">
        <f t="shared" si="4"/>
        <v>31</v>
      </c>
    </row>
    <row r="216" ht="12.75">
      <c r="A216" s="6">
        <v>2024</v>
      </c>
      <c r="B216" s="10" t="s">
        <v>5</v>
      </c>
      <c r="C216" s="10" t="s">
        <v>238</v>
      </c>
      <c r="D216" s="10" t="s">
        <v>243</v>
      </c>
      <c r="E216" s="11">
        <v>9000</v>
      </c>
      <c r="F216" s="6">
        <f t="shared" si="4"/>
        <v>31</v>
      </c>
    </row>
    <row r="217" ht="12.75">
      <c r="A217" s="6">
        <v>2024</v>
      </c>
      <c r="B217" s="10" t="s">
        <v>5</v>
      </c>
      <c r="C217" s="10" t="s">
        <v>238</v>
      </c>
      <c r="D217" s="10" t="s">
        <v>14</v>
      </c>
      <c r="E217" s="11">
        <v>0</v>
      </c>
      <c r="F217" s="6">
        <f t="shared" si="4"/>
        <v>31</v>
      </c>
    </row>
    <row r="218" ht="12.75">
      <c r="A218" s="6">
        <v>2024</v>
      </c>
      <c r="B218" s="10" t="s">
        <v>5</v>
      </c>
      <c r="C218" s="10" t="s">
        <v>244</v>
      </c>
      <c r="D218" s="10" t="s">
        <v>23</v>
      </c>
      <c r="E218" s="11">
        <v>234561</v>
      </c>
      <c r="F218" s="6">
        <f t="shared" si="4"/>
        <v>32</v>
      </c>
    </row>
    <row r="219" ht="12.75">
      <c r="A219" s="6">
        <v>2024</v>
      </c>
      <c r="B219" s="10" t="s">
        <v>5</v>
      </c>
      <c r="C219" s="10" t="s">
        <v>244</v>
      </c>
      <c r="D219" s="10" t="s">
        <v>245</v>
      </c>
      <c r="E219" s="11">
        <v>0</v>
      </c>
      <c r="F219" s="6">
        <f t="shared" si="4"/>
        <v>32</v>
      </c>
    </row>
    <row r="220" ht="12.75">
      <c r="A220" s="6">
        <v>2024</v>
      </c>
      <c r="B220" s="10" t="s">
        <v>5</v>
      </c>
      <c r="C220" s="10" t="s">
        <v>244</v>
      </c>
      <c r="D220" s="10" t="s">
        <v>24</v>
      </c>
      <c r="E220" s="11">
        <v>140000</v>
      </c>
      <c r="F220" s="6">
        <f t="shared" si="4"/>
        <v>32</v>
      </c>
    </row>
    <row r="221" ht="12.75">
      <c r="A221" s="6">
        <v>2024</v>
      </c>
      <c r="B221" s="10" t="s">
        <v>5</v>
      </c>
      <c r="C221" s="10" t="s">
        <v>244</v>
      </c>
      <c r="D221" s="10" t="s">
        <v>25</v>
      </c>
      <c r="E221" s="11">
        <v>17000</v>
      </c>
      <c r="F221" s="6">
        <f t="shared" si="4"/>
        <v>32</v>
      </c>
    </row>
    <row r="222" ht="12.75">
      <c r="A222" s="6">
        <v>2024</v>
      </c>
      <c r="B222" s="10" t="s">
        <v>5</v>
      </c>
      <c r="C222" s="10" t="s">
        <v>244</v>
      </c>
      <c r="D222" s="10" t="s">
        <v>26</v>
      </c>
      <c r="E222" s="11">
        <v>34600</v>
      </c>
      <c r="F222" s="6">
        <f t="shared" si="4"/>
        <v>32</v>
      </c>
    </row>
    <row r="223" ht="12.75">
      <c r="A223" s="6">
        <v>2024</v>
      </c>
      <c r="B223" s="10" t="s">
        <v>5</v>
      </c>
      <c r="C223" s="10" t="s">
        <v>244</v>
      </c>
      <c r="D223" s="10" t="s">
        <v>27</v>
      </c>
      <c r="E223" s="11">
        <v>29577</v>
      </c>
      <c r="F223" s="6">
        <f t="shared" si="4"/>
        <v>32</v>
      </c>
    </row>
    <row r="224" ht="12.75">
      <c r="A224" s="6">
        <v>2024</v>
      </c>
      <c r="B224" s="10" t="s">
        <v>5</v>
      </c>
      <c r="C224" s="10" t="s">
        <v>246</v>
      </c>
      <c r="D224" s="10" t="s">
        <v>18</v>
      </c>
      <c r="E224" s="11">
        <v>68000</v>
      </c>
      <c r="F224" s="6">
        <f t="shared" si="4"/>
        <v>33</v>
      </c>
    </row>
    <row r="225" ht="12.75">
      <c r="A225" s="6">
        <v>2024</v>
      </c>
      <c r="B225" s="10" t="s">
        <v>5</v>
      </c>
      <c r="C225" s="10" t="s">
        <v>246</v>
      </c>
      <c r="D225" s="10" t="s">
        <v>19</v>
      </c>
      <c r="E225" s="11">
        <f>152166-15000-2000</f>
        <v>135166</v>
      </c>
      <c r="F225" s="6">
        <f t="shared" si="4"/>
        <v>33</v>
      </c>
    </row>
    <row r="226" ht="12.75">
      <c r="A226" s="6">
        <v>2024</v>
      </c>
      <c r="B226" s="10" t="s">
        <v>5</v>
      </c>
      <c r="C226" s="10" t="s">
        <v>246</v>
      </c>
      <c r="D226" s="10" t="s">
        <v>20</v>
      </c>
      <c r="E226" s="11">
        <v>100000</v>
      </c>
      <c r="F226" s="6">
        <f t="shared" si="4"/>
        <v>33</v>
      </c>
    </row>
    <row r="227" ht="12.75">
      <c r="A227" s="6">
        <v>2024</v>
      </c>
      <c r="B227" s="10" t="s">
        <v>5</v>
      </c>
      <c r="C227" s="10" t="s">
        <v>247</v>
      </c>
      <c r="D227" s="10" t="s">
        <v>29</v>
      </c>
      <c r="E227" s="11">
        <v>10000</v>
      </c>
      <c r="F227" s="6">
        <f t="shared" si="4"/>
        <v>34</v>
      </c>
    </row>
    <row r="228" ht="12.75">
      <c r="A228" s="6">
        <v>2024</v>
      </c>
      <c r="B228" s="10" t="s">
        <v>5</v>
      </c>
      <c r="C228" s="10" t="s">
        <v>247</v>
      </c>
      <c r="D228" s="10" t="s">
        <v>30</v>
      </c>
      <c r="E228" s="11">
        <v>3000</v>
      </c>
      <c r="F228" s="6">
        <f t="shared" si="4"/>
        <v>34</v>
      </c>
    </row>
    <row r="229" ht="12.75">
      <c r="A229" s="6">
        <v>2024</v>
      </c>
      <c r="B229" s="10" t="s">
        <v>5</v>
      </c>
      <c r="C229" s="10" t="s">
        <v>247</v>
      </c>
      <c r="D229" s="10" t="s">
        <v>31</v>
      </c>
      <c r="E229" s="11">
        <v>18000</v>
      </c>
      <c r="F229" s="6">
        <f t="shared" ref="F229:F292" si="5">IF(C229=C228,F228,F228+1)</f>
        <v>34</v>
      </c>
    </row>
    <row r="230" ht="12.75">
      <c r="A230" s="6">
        <v>2024</v>
      </c>
      <c r="B230" s="10" t="s">
        <v>5</v>
      </c>
      <c r="C230" s="10" t="s">
        <v>247</v>
      </c>
      <c r="D230" s="10" t="s">
        <v>248</v>
      </c>
      <c r="E230" s="11">
        <v>1100</v>
      </c>
      <c r="F230" s="6">
        <f t="shared" si="5"/>
        <v>34</v>
      </c>
    </row>
    <row r="231" ht="12.75">
      <c r="A231" s="6">
        <v>2024</v>
      </c>
      <c r="B231" s="10" t="s">
        <v>5</v>
      </c>
      <c r="C231" s="10" t="s">
        <v>247</v>
      </c>
      <c r="D231" s="10" t="s">
        <v>33</v>
      </c>
      <c r="E231" s="11">
        <v>1000</v>
      </c>
      <c r="F231" s="6">
        <f t="shared" si="5"/>
        <v>34</v>
      </c>
    </row>
    <row r="232" ht="12.75">
      <c r="A232" s="6">
        <v>2024</v>
      </c>
      <c r="B232" s="10" t="s">
        <v>5</v>
      </c>
      <c r="C232" s="10" t="s">
        <v>247</v>
      </c>
      <c r="D232" s="10" t="s">
        <v>249</v>
      </c>
      <c r="E232" s="11">
        <v>5000</v>
      </c>
      <c r="F232" s="6">
        <f t="shared" si="5"/>
        <v>34</v>
      </c>
    </row>
    <row r="233" ht="12.75">
      <c r="A233" s="6">
        <v>2024</v>
      </c>
      <c r="B233" s="10" t="s">
        <v>35</v>
      </c>
      <c r="C233" s="10" t="s">
        <v>250</v>
      </c>
      <c r="D233" s="10" t="s">
        <v>251</v>
      </c>
      <c r="E233" s="11">
        <v>-18000</v>
      </c>
      <c r="F233" s="6">
        <f t="shared" si="5"/>
        <v>35</v>
      </c>
    </row>
    <row r="234" ht="12.75">
      <c r="A234" s="6">
        <v>2024</v>
      </c>
      <c r="B234" s="10" t="s">
        <v>35</v>
      </c>
      <c r="C234" s="10" t="s">
        <v>250</v>
      </c>
      <c r="D234" s="10" t="s">
        <v>179</v>
      </c>
      <c r="E234" s="11">
        <v>-200</v>
      </c>
      <c r="F234" s="6">
        <f t="shared" si="5"/>
        <v>35</v>
      </c>
    </row>
    <row r="235" ht="12.75">
      <c r="A235" s="6">
        <v>2024</v>
      </c>
      <c r="B235" s="10" t="s">
        <v>35</v>
      </c>
      <c r="C235" s="10" t="s">
        <v>250</v>
      </c>
      <c r="D235" s="10" t="s">
        <v>180</v>
      </c>
      <c r="E235" s="11">
        <v>-700</v>
      </c>
      <c r="F235" s="6">
        <f t="shared" si="5"/>
        <v>35</v>
      </c>
    </row>
    <row r="236" ht="12.75">
      <c r="A236" s="6">
        <v>2024</v>
      </c>
      <c r="B236" s="10" t="s">
        <v>35</v>
      </c>
      <c r="C236" s="10" t="s">
        <v>250</v>
      </c>
      <c r="D236" s="10" t="s">
        <v>181</v>
      </c>
      <c r="E236" s="11">
        <v>-12000</v>
      </c>
      <c r="F236" s="6">
        <f t="shared" si="5"/>
        <v>35</v>
      </c>
    </row>
    <row r="237" ht="12.75">
      <c r="A237" s="6">
        <v>2024</v>
      </c>
      <c r="B237" s="10" t="s">
        <v>35</v>
      </c>
      <c r="C237" s="10" t="s">
        <v>250</v>
      </c>
      <c r="D237" s="10" t="s">
        <v>182</v>
      </c>
      <c r="E237" s="11">
        <v>-3600</v>
      </c>
      <c r="F237" s="6">
        <f t="shared" si="5"/>
        <v>35</v>
      </c>
    </row>
    <row r="238" ht="12.75">
      <c r="A238" s="6">
        <v>2024</v>
      </c>
      <c r="B238" s="10" t="s">
        <v>35</v>
      </c>
      <c r="C238" s="10" t="s">
        <v>250</v>
      </c>
      <c r="D238" s="10" t="s">
        <v>183</v>
      </c>
      <c r="E238" s="11">
        <v>-200</v>
      </c>
      <c r="F238" s="6">
        <f t="shared" si="5"/>
        <v>35</v>
      </c>
    </row>
    <row r="239" ht="12.75">
      <c r="A239" s="6">
        <v>2024</v>
      </c>
      <c r="B239" s="10" t="s">
        <v>35</v>
      </c>
      <c r="C239" s="10" t="s">
        <v>250</v>
      </c>
      <c r="D239" s="10" t="s">
        <v>184</v>
      </c>
      <c r="E239" s="11">
        <v>-200</v>
      </c>
      <c r="F239" s="6">
        <f t="shared" si="5"/>
        <v>35</v>
      </c>
    </row>
    <row r="240" ht="12.75">
      <c r="A240" s="6">
        <v>2024</v>
      </c>
      <c r="B240" s="10" t="s">
        <v>35</v>
      </c>
      <c r="C240" s="10" t="s">
        <v>250</v>
      </c>
      <c r="D240" s="10" t="s">
        <v>185</v>
      </c>
      <c r="E240" s="11">
        <v>-1000</v>
      </c>
      <c r="F240" s="6">
        <f t="shared" si="5"/>
        <v>35</v>
      </c>
    </row>
    <row r="241" ht="12.75">
      <c r="A241" s="6">
        <v>2024</v>
      </c>
      <c r="B241" s="10" t="s">
        <v>35</v>
      </c>
      <c r="C241" s="10" t="s">
        <v>250</v>
      </c>
      <c r="D241" s="10" t="s">
        <v>186</v>
      </c>
      <c r="E241" s="11">
        <v>-200</v>
      </c>
      <c r="F241" s="6">
        <f t="shared" si="5"/>
        <v>35</v>
      </c>
    </row>
    <row r="242" ht="12.75">
      <c r="A242" s="6">
        <v>2024</v>
      </c>
      <c r="B242" s="10" t="s">
        <v>35</v>
      </c>
      <c r="C242" s="10" t="s">
        <v>250</v>
      </c>
      <c r="D242" s="10" t="s">
        <v>187</v>
      </c>
      <c r="E242" s="11">
        <v>-200</v>
      </c>
      <c r="F242" s="6">
        <f t="shared" si="5"/>
        <v>35</v>
      </c>
    </row>
    <row r="243" ht="12.75">
      <c r="A243" s="6">
        <v>2024</v>
      </c>
      <c r="B243" s="10" t="s">
        <v>35</v>
      </c>
      <c r="C243" s="10" t="s">
        <v>250</v>
      </c>
      <c r="D243" s="10" t="s">
        <v>188</v>
      </c>
      <c r="E243" s="11">
        <v>-200</v>
      </c>
      <c r="F243" s="6">
        <f t="shared" si="5"/>
        <v>35</v>
      </c>
    </row>
    <row r="244" ht="12.75">
      <c r="A244" s="6">
        <v>2024</v>
      </c>
      <c r="B244" s="10" t="s">
        <v>35</v>
      </c>
      <c r="C244" s="10" t="s">
        <v>250</v>
      </c>
      <c r="D244" s="10" t="s">
        <v>189</v>
      </c>
      <c r="E244" s="11">
        <v>-2400</v>
      </c>
      <c r="F244" s="6">
        <f t="shared" si="5"/>
        <v>35</v>
      </c>
    </row>
    <row r="245" ht="12.75">
      <c r="A245" s="6">
        <v>2024</v>
      </c>
      <c r="B245" s="10" t="s">
        <v>35</v>
      </c>
      <c r="C245" s="10" t="s">
        <v>250</v>
      </c>
      <c r="D245" s="10" t="s">
        <v>190</v>
      </c>
      <c r="E245" s="11">
        <v>-300</v>
      </c>
      <c r="F245" s="6">
        <f t="shared" si="5"/>
        <v>35</v>
      </c>
    </row>
    <row r="246" ht="12.75">
      <c r="A246" s="6">
        <v>2024</v>
      </c>
      <c r="B246" s="10" t="s">
        <v>35</v>
      </c>
      <c r="C246" s="10" t="s">
        <v>250</v>
      </c>
      <c r="D246" s="10" t="s">
        <v>191</v>
      </c>
      <c r="E246" s="11">
        <v>-200</v>
      </c>
      <c r="F246" s="6">
        <f t="shared" si="5"/>
        <v>35</v>
      </c>
    </row>
    <row r="247" ht="12.75">
      <c r="A247" s="6">
        <v>2024</v>
      </c>
      <c r="B247" s="10" t="s">
        <v>35</v>
      </c>
      <c r="C247" s="10" t="s">
        <v>250</v>
      </c>
      <c r="D247" s="10" t="s">
        <v>192</v>
      </c>
      <c r="E247" s="11">
        <v>-100</v>
      </c>
      <c r="F247" s="6">
        <f t="shared" si="5"/>
        <v>35</v>
      </c>
    </row>
    <row r="248" ht="12.75">
      <c r="A248" s="6">
        <v>2024</v>
      </c>
      <c r="B248" s="10" t="s">
        <v>35</v>
      </c>
      <c r="C248" s="10" t="s">
        <v>250</v>
      </c>
      <c r="D248" s="10" t="s">
        <v>193</v>
      </c>
      <c r="E248" s="11">
        <v>-9000</v>
      </c>
      <c r="F248" s="6">
        <f t="shared" si="5"/>
        <v>35</v>
      </c>
    </row>
    <row r="249" ht="12.75">
      <c r="A249" s="6">
        <v>2024</v>
      </c>
      <c r="B249" s="10" t="s">
        <v>35</v>
      </c>
      <c r="C249" s="10" t="s">
        <v>250</v>
      </c>
      <c r="D249" s="10" t="s">
        <v>252</v>
      </c>
      <c r="E249" s="11">
        <v>-1100</v>
      </c>
      <c r="F249" s="6">
        <f t="shared" si="5"/>
        <v>35</v>
      </c>
    </row>
    <row r="250" ht="12.75">
      <c r="A250" s="6">
        <v>2024</v>
      </c>
      <c r="B250" s="10" t="s">
        <v>35</v>
      </c>
      <c r="C250" s="10" t="s">
        <v>250</v>
      </c>
      <c r="D250" s="10" t="s">
        <v>195</v>
      </c>
      <c r="E250" s="11">
        <v>0</v>
      </c>
      <c r="F250" s="6">
        <f t="shared" si="5"/>
        <v>35</v>
      </c>
    </row>
    <row r="251" ht="12.75">
      <c r="A251" s="6">
        <v>2024</v>
      </c>
      <c r="B251" s="10" t="s">
        <v>35</v>
      </c>
      <c r="C251" s="10" t="s">
        <v>250</v>
      </c>
      <c r="D251" s="10" t="s">
        <v>196</v>
      </c>
      <c r="E251" s="11">
        <v>-5000</v>
      </c>
      <c r="F251" s="6">
        <f t="shared" si="5"/>
        <v>35</v>
      </c>
    </row>
    <row r="252" ht="12.75">
      <c r="A252" s="6">
        <v>2024</v>
      </c>
      <c r="B252" s="10" t="s">
        <v>35</v>
      </c>
      <c r="C252" s="10" t="s">
        <v>250</v>
      </c>
      <c r="D252" s="10" t="s">
        <v>253</v>
      </c>
      <c r="E252" s="11">
        <v>0</v>
      </c>
      <c r="F252" s="6">
        <f t="shared" si="5"/>
        <v>35</v>
      </c>
    </row>
    <row r="253" ht="12.75">
      <c r="A253" s="6">
        <v>2024</v>
      </c>
      <c r="B253" s="10" t="s">
        <v>35</v>
      </c>
      <c r="C253" s="10" t="s">
        <v>250</v>
      </c>
      <c r="D253" s="10" t="s">
        <v>254</v>
      </c>
      <c r="E253" s="11">
        <v>0</v>
      </c>
      <c r="F253" s="6">
        <f t="shared" si="5"/>
        <v>35</v>
      </c>
    </row>
    <row r="254" ht="12.75">
      <c r="A254" s="6">
        <v>2024</v>
      </c>
      <c r="B254" s="10" t="s">
        <v>35</v>
      </c>
      <c r="C254" s="10" t="s">
        <v>250</v>
      </c>
      <c r="D254" s="10" t="s">
        <v>255</v>
      </c>
      <c r="E254" s="11">
        <v>-400</v>
      </c>
      <c r="F254" s="6">
        <f t="shared" si="5"/>
        <v>35</v>
      </c>
    </row>
    <row r="255" ht="12.75">
      <c r="A255" s="6">
        <v>2024</v>
      </c>
      <c r="B255" s="10" t="s">
        <v>35</v>
      </c>
      <c r="C255" s="10" t="s">
        <v>250</v>
      </c>
      <c r="D255" s="10" t="s">
        <v>256</v>
      </c>
      <c r="E255" s="11">
        <v>-1300</v>
      </c>
      <c r="F255" s="6">
        <f t="shared" si="5"/>
        <v>35</v>
      </c>
    </row>
    <row r="256" ht="12.75">
      <c r="A256" s="6">
        <v>2024</v>
      </c>
      <c r="B256" s="10" t="s">
        <v>35</v>
      </c>
      <c r="C256" s="10" t="s">
        <v>250</v>
      </c>
      <c r="D256" s="10" t="s">
        <v>257</v>
      </c>
      <c r="E256" s="11">
        <v>-1500</v>
      </c>
      <c r="F256" s="6">
        <f t="shared" si="5"/>
        <v>35</v>
      </c>
    </row>
    <row r="257" ht="12.75">
      <c r="A257" s="6">
        <v>2024</v>
      </c>
      <c r="B257" s="10" t="s">
        <v>35</v>
      </c>
      <c r="C257" s="10" t="s">
        <v>250</v>
      </c>
      <c r="D257" s="10" t="s">
        <v>202</v>
      </c>
      <c r="E257" s="11">
        <v>-1000</v>
      </c>
      <c r="F257" s="6">
        <f t="shared" si="5"/>
        <v>35</v>
      </c>
    </row>
    <row r="258" ht="12.75">
      <c r="A258" s="6">
        <v>2024</v>
      </c>
      <c r="B258" s="10" t="s">
        <v>35</v>
      </c>
      <c r="C258" s="10" t="s">
        <v>250</v>
      </c>
      <c r="D258" s="10" t="s">
        <v>204</v>
      </c>
      <c r="E258" s="11">
        <v>-3905</v>
      </c>
      <c r="F258" s="6">
        <f t="shared" si="5"/>
        <v>35</v>
      </c>
    </row>
    <row r="259" ht="12.75">
      <c r="A259" s="6">
        <v>2024</v>
      </c>
      <c r="B259" s="10" t="s">
        <v>35</v>
      </c>
      <c r="C259" s="10" t="s">
        <v>250</v>
      </c>
      <c r="D259" s="10" t="s">
        <v>205</v>
      </c>
      <c r="E259" s="11">
        <v>-51035</v>
      </c>
      <c r="F259" s="6">
        <f t="shared" si="5"/>
        <v>35</v>
      </c>
    </row>
    <row r="260" ht="12.75">
      <c r="A260" s="6">
        <v>2024</v>
      </c>
      <c r="B260" s="10" t="s">
        <v>35</v>
      </c>
      <c r="C260" s="10" t="s">
        <v>250</v>
      </c>
      <c r="D260" s="10" t="s">
        <v>206</v>
      </c>
      <c r="E260" s="11">
        <v>-1000</v>
      </c>
      <c r="F260" s="6">
        <f t="shared" si="5"/>
        <v>35</v>
      </c>
    </row>
    <row r="261" ht="12.75">
      <c r="A261" s="6">
        <v>2024</v>
      </c>
      <c r="B261" s="10" t="s">
        <v>35</v>
      </c>
      <c r="C261" s="10" t="s">
        <v>250</v>
      </c>
      <c r="D261" s="10" t="s">
        <v>208</v>
      </c>
      <c r="E261" s="11">
        <v>-2200</v>
      </c>
      <c r="F261" s="6">
        <f t="shared" si="5"/>
        <v>35</v>
      </c>
    </row>
    <row r="262" ht="12.75">
      <c r="A262" s="6">
        <v>2024</v>
      </c>
      <c r="B262" s="10" t="s">
        <v>35</v>
      </c>
      <c r="C262" s="10" t="s">
        <v>250</v>
      </c>
      <c r="D262" s="10" t="s">
        <v>209</v>
      </c>
      <c r="E262" s="11">
        <v>-59628</v>
      </c>
      <c r="F262" s="6">
        <f t="shared" si="5"/>
        <v>35</v>
      </c>
    </row>
    <row r="263" ht="12.75">
      <c r="A263" s="6">
        <v>2024</v>
      </c>
      <c r="B263" s="10" t="s">
        <v>35</v>
      </c>
      <c r="C263" s="10" t="s">
        <v>250</v>
      </c>
      <c r="D263" s="10" t="s">
        <v>210</v>
      </c>
      <c r="E263" s="11">
        <v>-10000</v>
      </c>
      <c r="F263" s="6">
        <f t="shared" si="5"/>
        <v>35</v>
      </c>
    </row>
    <row r="264" ht="12.75">
      <c r="A264" s="6">
        <v>2024</v>
      </c>
      <c r="B264" s="10" t="s">
        <v>35</v>
      </c>
      <c r="C264" s="10" t="s">
        <v>250</v>
      </c>
      <c r="D264" s="10" t="s">
        <v>211</v>
      </c>
      <c r="E264" s="11">
        <v>-13792.1</v>
      </c>
      <c r="F264" s="6">
        <f t="shared" si="5"/>
        <v>35</v>
      </c>
    </row>
    <row r="265" ht="12.75">
      <c r="A265" s="6">
        <v>2024</v>
      </c>
      <c r="B265" s="10" t="s">
        <v>35</v>
      </c>
      <c r="C265" s="10" t="s">
        <v>250</v>
      </c>
      <c r="D265" s="10" t="s">
        <v>212</v>
      </c>
      <c r="E265" s="11">
        <v>-7536</v>
      </c>
      <c r="F265" s="6">
        <f t="shared" si="5"/>
        <v>35</v>
      </c>
    </row>
    <row r="266" ht="12.75">
      <c r="A266" s="6">
        <v>2024</v>
      </c>
      <c r="B266" s="10" t="s">
        <v>35</v>
      </c>
      <c r="C266" s="10" t="s">
        <v>250</v>
      </c>
      <c r="D266" s="10" t="s">
        <v>213</v>
      </c>
      <c r="E266" s="11">
        <v>-5000</v>
      </c>
      <c r="F266" s="6">
        <f t="shared" si="5"/>
        <v>35</v>
      </c>
    </row>
    <row r="267" ht="12.75">
      <c r="A267" s="6">
        <v>2024</v>
      </c>
      <c r="B267" s="10" t="s">
        <v>35</v>
      </c>
      <c r="C267" s="10" t="s">
        <v>250</v>
      </c>
      <c r="D267" s="10" t="s">
        <v>214</v>
      </c>
      <c r="E267" s="11">
        <v>-38888</v>
      </c>
      <c r="F267" s="6">
        <f t="shared" si="5"/>
        <v>35</v>
      </c>
    </row>
    <row r="268" ht="12.75">
      <c r="A268" s="6">
        <v>2024</v>
      </c>
      <c r="B268" s="10" t="s">
        <v>35</v>
      </c>
      <c r="C268" s="10" t="s">
        <v>250</v>
      </c>
      <c r="D268" s="10" t="s">
        <v>215</v>
      </c>
      <c r="E268" s="11">
        <v>-1476.22</v>
      </c>
      <c r="F268" s="6">
        <f t="shared" si="5"/>
        <v>35</v>
      </c>
    </row>
    <row r="269" ht="12.75">
      <c r="A269" s="6">
        <v>2024</v>
      </c>
      <c r="B269" s="10" t="s">
        <v>35</v>
      </c>
      <c r="C269" s="10" t="s">
        <v>258</v>
      </c>
      <c r="D269" s="10" t="s">
        <v>218</v>
      </c>
      <c r="E269" s="11">
        <v>-200</v>
      </c>
      <c r="F269" s="6">
        <f t="shared" si="5"/>
        <v>36</v>
      </c>
    </row>
    <row r="270" ht="12.75">
      <c r="A270" s="6">
        <v>2024</v>
      </c>
      <c r="B270" s="10" t="s">
        <v>35</v>
      </c>
      <c r="C270" s="10" t="s">
        <v>258</v>
      </c>
      <c r="D270" s="10" t="s">
        <v>219</v>
      </c>
      <c r="E270" s="11">
        <v>-250</v>
      </c>
      <c r="F270" s="6">
        <f t="shared" si="5"/>
        <v>36</v>
      </c>
    </row>
    <row r="271" ht="12.75">
      <c r="A271" s="6">
        <v>2024</v>
      </c>
      <c r="B271" s="10" t="s">
        <v>35</v>
      </c>
      <c r="C271" s="10" t="s">
        <v>258</v>
      </c>
      <c r="D271" s="10" t="s">
        <v>221</v>
      </c>
      <c r="E271" s="11">
        <v>-1300</v>
      </c>
      <c r="F271" s="6">
        <f t="shared" si="5"/>
        <v>36</v>
      </c>
    </row>
    <row r="272" ht="12.75">
      <c r="A272" s="6">
        <v>2024</v>
      </c>
      <c r="B272" s="10" t="s">
        <v>35</v>
      </c>
      <c r="C272" s="10" t="s">
        <v>258</v>
      </c>
      <c r="D272" s="10" t="s">
        <v>259</v>
      </c>
      <c r="E272" s="11">
        <v>-3000</v>
      </c>
      <c r="F272" s="6">
        <f t="shared" si="5"/>
        <v>36</v>
      </c>
    </row>
    <row r="273" ht="12.75">
      <c r="A273" s="6">
        <v>2024</v>
      </c>
      <c r="B273" s="10" t="s">
        <v>35</v>
      </c>
      <c r="C273" s="10" t="s">
        <v>258</v>
      </c>
      <c r="D273" s="10" t="s">
        <v>223</v>
      </c>
      <c r="E273" s="11">
        <v>-1400</v>
      </c>
      <c r="F273" s="6">
        <f t="shared" si="5"/>
        <v>36</v>
      </c>
    </row>
    <row r="274" ht="12.75">
      <c r="A274" s="6">
        <v>2024</v>
      </c>
      <c r="B274" s="10" t="s">
        <v>35</v>
      </c>
      <c r="C274" s="10" t="s">
        <v>258</v>
      </c>
      <c r="D274" s="10" t="s">
        <v>224</v>
      </c>
      <c r="E274" s="11">
        <v>-200</v>
      </c>
      <c r="F274" s="6">
        <f t="shared" si="5"/>
        <v>36</v>
      </c>
    </row>
    <row r="275" ht="12.75">
      <c r="A275" s="6">
        <v>2024</v>
      </c>
      <c r="B275" s="10" t="s">
        <v>35</v>
      </c>
      <c r="C275" s="10" t="s">
        <v>258</v>
      </c>
      <c r="D275" s="10" t="s">
        <v>225</v>
      </c>
      <c r="E275" s="11">
        <v>-300</v>
      </c>
      <c r="F275" s="6">
        <f t="shared" si="5"/>
        <v>36</v>
      </c>
    </row>
    <row r="276" ht="12.75">
      <c r="A276" s="6">
        <v>2024</v>
      </c>
      <c r="B276" s="10" t="s">
        <v>35</v>
      </c>
      <c r="C276" s="10" t="s">
        <v>258</v>
      </c>
      <c r="D276" s="10" t="s">
        <v>260</v>
      </c>
      <c r="E276" s="11">
        <v>-9000</v>
      </c>
      <c r="F276" s="6">
        <f t="shared" si="5"/>
        <v>36</v>
      </c>
    </row>
    <row r="277" ht="12.75">
      <c r="A277" s="6">
        <v>2024</v>
      </c>
      <c r="B277" s="10" t="s">
        <v>35</v>
      </c>
      <c r="C277" s="10" t="s">
        <v>258</v>
      </c>
      <c r="D277" s="10" t="s">
        <v>227</v>
      </c>
      <c r="E277" s="11">
        <v>-150</v>
      </c>
      <c r="F277" s="6">
        <f t="shared" si="5"/>
        <v>36</v>
      </c>
    </row>
    <row r="278" ht="12.75">
      <c r="A278" s="6">
        <v>2024</v>
      </c>
      <c r="B278" s="10" t="s">
        <v>35</v>
      </c>
      <c r="C278" s="10" t="s">
        <v>258</v>
      </c>
      <c r="D278" s="10" t="s">
        <v>228</v>
      </c>
      <c r="E278" s="11">
        <v>-200</v>
      </c>
      <c r="F278" s="6">
        <f t="shared" si="5"/>
        <v>36</v>
      </c>
    </row>
    <row r="279" ht="12.75">
      <c r="A279" s="6">
        <v>2024</v>
      </c>
      <c r="B279" s="10" t="s">
        <v>35</v>
      </c>
      <c r="C279" s="10" t="s">
        <v>258</v>
      </c>
      <c r="D279" s="10" t="s">
        <v>229</v>
      </c>
      <c r="E279" s="11">
        <v>-200</v>
      </c>
      <c r="F279" s="6">
        <f t="shared" si="5"/>
        <v>36</v>
      </c>
    </row>
    <row r="280" ht="12.75">
      <c r="A280" s="6">
        <v>2024</v>
      </c>
      <c r="B280" s="10" t="s">
        <v>35</v>
      </c>
      <c r="C280" s="10" t="s">
        <v>258</v>
      </c>
      <c r="D280" s="10" t="s">
        <v>230</v>
      </c>
      <c r="E280" s="11">
        <v>-200</v>
      </c>
      <c r="F280" s="6">
        <f t="shared" si="5"/>
        <v>36</v>
      </c>
    </row>
    <row r="281" ht="12.75">
      <c r="A281" s="6">
        <v>2024</v>
      </c>
      <c r="B281" s="10" t="s">
        <v>35</v>
      </c>
      <c r="C281" s="10" t="s">
        <v>258</v>
      </c>
      <c r="D281" s="10" t="s">
        <v>231</v>
      </c>
      <c r="E281" s="11">
        <v>-1000</v>
      </c>
      <c r="F281" s="6">
        <f t="shared" si="5"/>
        <v>36</v>
      </c>
    </row>
    <row r="282" ht="12.75">
      <c r="A282" s="6">
        <v>2024</v>
      </c>
      <c r="B282" s="10" t="s">
        <v>35</v>
      </c>
      <c r="C282" s="10" t="s">
        <v>258</v>
      </c>
      <c r="D282" s="10" t="s">
        <v>233</v>
      </c>
      <c r="E282" s="11">
        <v>-2796.3975</v>
      </c>
      <c r="F282" s="6">
        <f t="shared" si="5"/>
        <v>36</v>
      </c>
    </row>
    <row r="283" ht="12.75">
      <c r="A283" s="6">
        <v>2024</v>
      </c>
      <c r="B283" s="10" t="s">
        <v>35</v>
      </c>
      <c r="C283" s="10" t="s">
        <v>258</v>
      </c>
      <c r="D283" s="10" t="s">
        <v>234</v>
      </c>
      <c r="E283" s="11">
        <v>-36554.25</v>
      </c>
      <c r="F283" s="6">
        <f t="shared" si="5"/>
        <v>36</v>
      </c>
    </row>
    <row r="284" ht="12.75">
      <c r="A284" s="6">
        <v>2024</v>
      </c>
      <c r="B284" s="10" t="s">
        <v>35</v>
      </c>
      <c r="C284" s="10" t="s">
        <v>258</v>
      </c>
      <c r="D284" s="10" t="s">
        <v>261</v>
      </c>
      <c r="E284" s="11">
        <v>0</v>
      </c>
      <c r="F284" s="6">
        <f t="shared" si="5"/>
        <v>36</v>
      </c>
    </row>
    <row r="285" ht="12.75">
      <c r="A285" s="6">
        <v>2024</v>
      </c>
      <c r="B285" s="10" t="s">
        <v>35</v>
      </c>
      <c r="C285" s="10" t="s">
        <v>258</v>
      </c>
      <c r="D285" s="10" t="s">
        <v>262</v>
      </c>
      <c r="E285" s="11">
        <v>-1462.1700000000001</v>
      </c>
      <c r="F285" s="6">
        <f t="shared" si="5"/>
        <v>36</v>
      </c>
    </row>
    <row r="286" ht="12.75">
      <c r="A286" s="6">
        <v>2024</v>
      </c>
      <c r="B286" s="10" t="s">
        <v>35</v>
      </c>
      <c r="C286" s="10" t="s">
        <v>258</v>
      </c>
      <c r="D286" s="10" t="s">
        <v>236</v>
      </c>
      <c r="E286" s="11">
        <v>-1000</v>
      </c>
      <c r="F286" s="6">
        <f t="shared" si="5"/>
        <v>36</v>
      </c>
    </row>
    <row r="287" ht="12.75">
      <c r="A287" s="6">
        <v>2024</v>
      </c>
      <c r="B287" s="10" t="s">
        <v>35</v>
      </c>
      <c r="C287" s="10" t="s">
        <v>263</v>
      </c>
      <c r="D287" s="10" t="s">
        <v>119</v>
      </c>
      <c r="E287" s="11">
        <v>-10000</v>
      </c>
      <c r="F287" s="6">
        <f t="shared" si="5"/>
        <v>37</v>
      </c>
    </row>
    <row r="288" ht="12.75">
      <c r="A288" s="6">
        <v>2024</v>
      </c>
      <c r="B288" s="10" t="s">
        <v>35</v>
      </c>
      <c r="C288" s="10" t="s">
        <v>263</v>
      </c>
      <c r="D288" s="10" t="s">
        <v>120</v>
      </c>
      <c r="E288" s="11">
        <v>-14400</v>
      </c>
      <c r="F288" s="6">
        <f t="shared" si="5"/>
        <v>37</v>
      </c>
    </row>
    <row r="289" ht="12.75">
      <c r="A289" s="6">
        <v>2024</v>
      </c>
      <c r="B289" s="10" t="s">
        <v>35</v>
      </c>
      <c r="C289" s="10" t="s">
        <v>263</v>
      </c>
      <c r="D289" s="10" t="s">
        <v>121</v>
      </c>
      <c r="E289" s="11">
        <v>-44800</v>
      </c>
      <c r="F289" s="6">
        <f t="shared" si="5"/>
        <v>37</v>
      </c>
    </row>
    <row r="290" ht="12.75">
      <c r="A290" s="6">
        <v>2024</v>
      </c>
      <c r="B290" s="10" t="s">
        <v>35</v>
      </c>
      <c r="C290" s="10" t="s">
        <v>263</v>
      </c>
      <c r="D290" s="10" t="s">
        <v>122</v>
      </c>
      <c r="E290" s="11">
        <v>-20000</v>
      </c>
      <c r="F290" s="6">
        <f t="shared" si="5"/>
        <v>37</v>
      </c>
    </row>
    <row r="291" ht="12.75">
      <c r="A291" s="6">
        <v>2024</v>
      </c>
      <c r="B291" s="10" t="s">
        <v>35</v>
      </c>
      <c r="C291" s="10" t="s">
        <v>263</v>
      </c>
      <c r="D291" s="10" t="s">
        <v>123</v>
      </c>
      <c r="E291" s="11">
        <v>-1600</v>
      </c>
      <c r="F291" s="6">
        <f t="shared" si="5"/>
        <v>37</v>
      </c>
    </row>
    <row r="292" ht="12.75">
      <c r="A292" s="6">
        <v>2024</v>
      </c>
      <c r="B292" s="10" t="s">
        <v>35</v>
      </c>
      <c r="C292" s="10" t="s">
        <v>263</v>
      </c>
      <c r="D292" s="10" t="s">
        <v>124</v>
      </c>
      <c r="E292" s="11">
        <v>-1600</v>
      </c>
      <c r="F292" s="6">
        <f t="shared" si="5"/>
        <v>37</v>
      </c>
    </row>
    <row r="293" ht="12.75">
      <c r="A293" s="6">
        <v>2024</v>
      </c>
      <c r="B293" s="10" t="s">
        <v>35</v>
      </c>
      <c r="C293" s="10" t="s">
        <v>263</v>
      </c>
      <c r="D293" s="10" t="s">
        <v>125</v>
      </c>
      <c r="E293" s="11">
        <v>-7200</v>
      </c>
      <c r="F293" s="6">
        <f t="shared" ref="F293:F356" si="6">IF(C293=C292,F292,F292+1)</f>
        <v>37</v>
      </c>
    </row>
    <row r="294" ht="12.75">
      <c r="A294" s="6">
        <v>2024</v>
      </c>
      <c r="B294" s="10" t="s">
        <v>35</v>
      </c>
      <c r="C294" s="10" t="s">
        <v>263</v>
      </c>
      <c r="D294" s="10" t="s">
        <v>126</v>
      </c>
      <c r="E294" s="11">
        <v>-7200</v>
      </c>
      <c r="F294" s="6">
        <f t="shared" si="6"/>
        <v>37</v>
      </c>
    </row>
    <row r="295" ht="12.75">
      <c r="A295" s="6">
        <v>2024</v>
      </c>
      <c r="B295" s="10" t="s">
        <v>35</v>
      </c>
      <c r="C295" s="10" t="s">
        <v>263</v>
      </c>
      <c r="D295" s="10" t="s">
        <v>129</v>
      </c>
      <c r="E295" s="11">
        <v>-34600</v>
      </c>
      <c r="F295" s="6">
        <f t="shared" si="6"/>
        <v>37</v>
      </c>
    </row>
    <row r="296" ht="12.75">
      <c r="A296" s="6">
        <v>2024</v>
      </c>
      <c r="B296" s="10" t="s">
        <v>35</v>
      </c>
      <c r="C296" s="10" t="s">
        <v>263</v>
      </c>
      <c r="D296" s="10" t="s">
        <v>127</v>
      </c>
      <c r="E296" s="11">
        <v>-10000</v>
      </c>
      <c r="F296" s="6">
        <f t="shared" si="6"/>
        <v>37</v>
      </c>
    </row>
    <row r="297" ht="12.75">
      <c r="A297" s="6">
        <v>2024</v>
      </c>
      <c r="B297" s="10" t="s">
        <v>35</v>
      </c>
      <c r="C297" s="10" t="s">
        <v>264</v>
      </c>
      <c r="D297" s="10" t="s">
        <v>95</v>
      </c>
      <c r="E297" s="11">
        <v>-40000</v>
      </c>
      <c r="F297" s="6">
        <f t="shared" si="6"/>
        <v>38</v>
      </c>
    </row>
    <row r="298" ht="12.75">
      <c r="A298" s="6">
        <v>2024</v>
      </c>
      <c r="B298" s="10" t="s">
        <v>35</v>
      </c>
      <c r="C298" s="10" t="s">
        <v>264</v>
      </c>
      <c r="D298" s="10" t="s">
        <v>265</v>
      </c>
      <c r="E298" s="11">
        <v>0</v>
      </c>
      <c r="F298" s="6">
        <f t="shared" si="6"/>
        <v>38</v>
      </c>
    </row>
    <row r="299" ht="12.75">
      <c r="A299" s="6">
        <v>2024</v>
      </c>
      <c r="B299" s="10" t="s">
        <v>35</v>
      </c>
      <c r="C299" s="10" t="s">
        <v>264</v>
      </c>
      <c r="D299" s="10" t="s">
        <v>97</v>
      </c>
      <c r="E299" s="11">
        <v>-200</v>
      </c>
      <c r="F299" s="6">
        <f t="shared" si="6"/>
        <v>38</v>
      </c>
    </row>
    <row r="300" ht="12.75">
      <c r="A300" s="6">
        <v>2024</v>
      </c>
      <c r="B300" s="10" t="s">
        <v>35</v>
      </c>
      <c r="C300" s="10" t="s">
        <v>264</v>
      </c>
      <c r="D300" s="10" t="s">
        <v>266</v>
      </c>
      <c r="E300" s="11">
        <v>0</v>
      </c>
      <c r="F300" s="6">
        <f t="shared" si="6"/>
        <v>38</v>
      </c>
    </row>
    <row r="301" ht="12.75">
      <c r="A301" s="6">
        <v>2024</v>
      </c>
      <c r="B301" s="10" t="s">
        <v>35</v>
      </c>
      <c r="C301" s="10" t="s">
        <v>264</v>
      </c>
      <c r="D301" s="10" t="s">
        <v>136</v>
      </c>
      <c r="E301" s="11">
        <v>-10000</v>
      </c>
      <c r="F301" s="6">
        <f t="shared" si="6"/>
        <v>38</v>
      </c>
    </row>
    <row r="302" ht="12.75">
      <c r="A302" s="6">
        <v>2024</v>
      </c>
      <c r="B302" s="10" t="s">
        <v>35</v>
      </c>
      <c r="C302" s="10" t="s">
        <v>264</v>
      </c>
      <c r="D302" s="10" t="s">
        <v>137</v>
      </c>
      <c r="E302" s="11">
        <v>-200</v>
      </c>
      <c r="F302" s="6">
        <f t="shared" si="6"/>
        <v>38</v>
      </c>
    </row>
    <row r="303" ht="12.75">
      <c r="A303" s="6">
        <v>2024</v>
      </c>
      <c r="B303" s="10" t="s">
        <v>35</v>
      </c>
      <c r="C303" s="10" t="s">
        <v>264</v>
      </c>
      <c r="D303" s="10" t="s">
        <v>267</v>
      </c>
      <c r="E303" s="11">
        <v>-1500</v>
      </c>
      <c r="F303" s="6">
        <f t="shared" si="6"/>
        <v>38</v>
      </c>
    </row>
    <row r="304" ht="12.75">
      <c r="A304" s="6">
        <v>2024</v>
      </c>
      <c r="B304" s="10" t="s">
        <v>35</v>
      </c>
      <c r="C304" s="10" t="s">
        <v>264</v>
      </c>
      <c r="D304" s="10" t="s">
        <v>268</v>
      </c>
      <c r="E304" s="11">
        <v>-700</v>
      </c>
      <c r="F304" s="6">
        <f t="shared" si="6"/>
        <v>38</v>
      </c>
    </row>
    <row r="305" ht="12.75">
      <c r="A305" s="6">
        <v>2024</v>
      </c>
      <c r="B305" s="10" t="s">
        <v>35</v>
      </c>
      <c r="C305" s="10" t="s">
        <v>264</v>
      </c>
      <c r="D305" s="10" t="s">
        <v>141</v>
      </c>
      <c r="E305" s="11">
        <v>-6000</v>
      </c>
      <c r="F305" s="6">
        <f t="shared" si="6"/>
        <v>38</v>
      </c>
    </row>
    <row r="306" ht="12.75">
      <c r="A306" s="6">
        <v>2024</v>
      </c>
      <c r="B306" s="10" t="s">
        <v>35</v>
      </c>
      <c r="C306" s="10" t="s">
        <v>264</v>
      </c>
      <c r="D306" s="10" t="s">
        <v>142</v>
      </c>
      <c r="E306" s="11">
        <v>0</v>
      </c>
      <c r="F306" s="6">
        <f t="shared" si="6"/>
        <v>38</v>
      </c>
    </row>
    <row r="307" ht="12.75">
      <c r="A307" s="6">
        <v>2024</v>
      </c>
      <c r="B307" s="10" t="s">
        <v>35</v>
      </c>
      <c r="C307" s="10" t="s">
        <v>264</v>
      </c>
      <c r="D307" s="10" t="s">
        <v>269</v>
      </c>
      <c r="E307" s="11">
        <v>0</v>
      </c>
      <c r="F307" s="6">
        <f t="shared" si="6"/>
        <v>38</v>
      </c>
    </row>
    <row r="308" ht="12.75">
      <c r="A308" s="6">
        <v>2024</v>
      </c>
      <c r="B308" s="10" t="s">
        <v>35</v>
      </c>
      <c r="C308" s="10" t="s">
        <v>270</v>
      </c>
      <c r="D308" s="10" t="s">
        <v>271</v>
      </c>
      <c r="E308" s="11">
        <v>-5000</v>
      </c>
      <c r="F308" s="6">
        <f t="shared" si="6"/>
        <v>39</v>
      </c>
    </row>
    <row r="309" ht="12.75">
      <c r="A309" s="6">
        <v>2024</v>
      </c>
      <c r="B309" s="10" t="s">
        <v>35</v>
      </c>
      <c r="C309" s="10" t="s">
        <v>270</v>
      </c>
      <c r="D309" s="10" t="s">
        <v>57</v>
      </c>
      <c r="E309" s="11">
        <v>-200</v>
      </c>
      <c r="F309" s="6">
        <f t="shared" si="6"/>
        <v>39</v>
      </c>
    </row>
    <row r="310" ht="12.75">
      <c r="A310" s="6">
        <v>2024</v>
      </c>
      <c r="B310" s="10" t="s">
        <v>35</v>
      </c>
      <c r="C310" s="10" t="s">
        <v>270</v>
      </c>
      <c r="D310" s="10" t="s">
        <v>58</v>
      </c>
      <c r="E310" s="11">
        <v>-150</v>
      </c>
      <c r="F310" s="6">
        <f t="shared" si="6"/>
        <v>39</v>
      </c>
    </row>
    <row r="311" ht="12.75">
      <c r="A311" s="6">
        <v>2024</v>
      </c>
      <c r="B311" s="10" t="s">
        <v>35</v>
      </c>
      <c r="C311" s="10" t="s">
        <v>270</v>
      </c>
      <c r="D311" s="10" t="s">
        <v>59</v>
      </c>
      <c r="E311" s="11">
        <v>-450</v>
      </c>
      <c r="F311" s="6">
        <f t="shared" si="6"/>
        <v>39</v>
      </c>
    </row>
    <row r="312" ht="12.75">
      <c r="A312" s="6">
        <v>2024</v>
      </c>
      <c r="B312" s="10" t="s">
        <v>35</v>
      </c>
      <c r="C312" s="10" t="s">
        <v>270</v>
      </c>
      <c r="D312" s="10" t="s">
        <v>60</v>
      </c>
      <c r="E312" s="11">
        <v>-150</v>
      </c>
      <c r="F312" s="6">
        <f t="shared" si="6"/>
        <v>39</v>
      </c>
    </row>
    <row r="313" ht="12.75">
      <c r="A313" s="6">
        <v>2024</v>
      </c>
      <c r="B313" s="10" t="s">
        <v>35</v>
      </c>
      <c r="C313" s="10" t="s">
        <v>270</v>
      </c>
      <c r="D313" s="10" t="s">
        <v>61</v>
      </c>
      <c r="E313" s="11">
        <v>-800</v>
      </c>
      <c r="F313" s="6">
        <f t="shared" si="6"/>
        <v>39</v>
      </c>
    </row>
    <row r="314" ht="12.75">
      <c r="A314" s="6">
        <v>2024</v>
      </c>
      <c r="B314" s="10" t="s">
        <v>35</v>
      </c>
      <c r="C314" s="10" t="s">
        <v>270</v>
      </c>
      <c r="D314" s="10" t="s">
        <v>62</v>
      </c>
      <c r="E314" s="11">
        <v>-150</v>
      </c>
      <c r="F314" s="6">
        <f t="shared" si="6"/>
        <v>39</v>
      </c>
    </row>
    <row r="315" ht="12.75">
      <c r="A315" s="6">
        <v>2024</v>
      </c>
      <c r="B315" s="10" t="s">
        <v>35</v>
      </c>
      <c r="C315" s="10" t="s">
        <v>270</v>
      </c>
      <c r="D315" s="10" t="s">
        <v>114</v>
      </c>
      <c r="E315" s="11">
        <v>0</v>
      </c>
      <c r="F315" s="6">
        <f t="shared" si="6"/>
        <v>39</v>
      </c>
    </row>
    <row r="316" ht="12.75">
      <c r="A316" s="6">
        <v>2024</v>
      </c>
      <c r="B316" s="10" t="s">
        <v>35</v>
      </c>
      <c r="C316" s="10" t="s">
        <v>270</v>
      </c>
      <c r="D316" s="10" t="s">
        <v>115</v>
      </c>
      <c r="E316" s="11">
        <v>-400</v>
      </c>
      <c r="F316" s="6">
        <f t="shared" si="6"/>
        <v>39</v>
      </c>
    </row>
    <row r="317" ht="12.75">
      <c r="A317" s="6">
        <v>2024</v>
      </c>
      <c r="B317" s="10" t="s">
        <v>35</v>
      </c>
      <c r="C317" s="10" t="s">
        <v>270</v>
      </c>
      <c r="D317" s="10" t="s">
        <v>116</v>
      </c>
      <c r="E317" s="11">
        <v>-180</v>
      </c>
      <c r="F317" s="6">
        <f t="shared" si="6"/>
        <v>39</v>
      </c>
    </row>
    <row r="318" ht="12.75">
      <c r="A318" s="6">
        <v>2024</v>
      </c>
      <c r="B318" s="10" t="s">
        <v>35</v>
      </c>
      <c r="C318" s="10" t="s">
        <v>270</v>
      </c>
      <c r="D318" s="10" t="s">
        <v>117</v>
      </c>
      <c r="E318" s="11">
        <v>-150</v>
      </c>
      <c r="F318" s="6">
        <f t="shared" si="6"/>
        <v>39</v>
      </c>
    </row>
    <row r="319" ht="12.75">
      <c r="A319" s="6">
        <v>2024</v>
      </c>
      <c r="B319" s="10" t="s">
        <v>35</v>
      </c>
      <c r="C319" s="10" t="s">
        <v>272</v>
      </c>
      <c r="D319" s="10" t="s">
        <v>68</v>
      </c>
      <c r="E319" s="11">
        <v>-300</v>
      </c>
      <c r="F319" s="6">
        <f t="shared" si="6"/>
        <v>40</v>
      </c>
    </row>
    <row r="320" ht="12.75">
      <c r="A320" s="6">
        <v>2024</v>
      </c>
      <c r="B320" s="10" t="s">
        <v>35</v>
      </c>
      <c r="C320" s="10" t="s">
        <v>272</v>
      </c>
      <c r="D320" s="10" t="s">
        <v>69</v>
      </c>
      <c r="E320" s="11">
        <v>-200</v>
      </c>
      <c r="F320" s="6">
        <f t="shared" si="6"/>
        <v>40</v>
      </c>
    </row>
    <row r="321" ht="12.75">
      <c r="A321" s="6">
        <v>2024</v>
      </c>
      <c r="B321" s="10" t="s">
        <v>35</v>
      </c>
      <c r="C321" s="10" t="s">
        <v>272</v>
      </c>
      <c r="D321" s="10" t="s">
        <v>70</v>
      </c>
      <c r="E321" s="11">
        <v>-500</v>
      </c>
      <c r="F321" s="6">
        <f t="shared" si="6"/>
        <v>40</v>
      </c>
    </row>
    <row r="322" ht="12.75">
      <c r="A322" s="6">
        <v>2024</v>
      </c>
      <c r="B322" s="10" t="s">
        <v>35</v>
      </c>
      <c r="C322" s="10" t="s">
        <v>272</v>
      </c>
      <c r="D322" s="10" t="s">
        <v>71</v>
      </c>
      <c r="E322" s="11">
        <v>-100</v>
      </c>
      <c r="F322" s="6">
        <f t="shared" si="6"/>
        <v>40</v>
      </c>
    </row>
    <row r="323" ht="12.75">
      <c r="A323" s="6">
        <v>2024</v>
      </c>
      <c r="B323" s="10" t="s">
        <v>35</v>
      </c>
      <c r="C323" s="10" t="s">
        <v>272</v>
      </c>
      <c r="D323" s="10" t="s">
        <v>72</v>
      </c>
      <c r="E323" s="11">
        <v>-300</v>
      </c>
      <c r="F323" s="6">
        <f t="shared" si="6"/>
        <v>40</v>
      </c>
    </row>
    <row r="324" ht="12.75">
      <c r="A324" s="6">
        <v>2024</v>
      </c>
      <c r="B324" s="10" t="s">
        <v>35</v>
      </c>
      <c r="C324" s="10" t="s">
        <v>272</v>
      </c>
      <c r="D324" s="10" t="s">
        <v>74</v>
      </c>
      <c r="E324" s="11">
        <v>-1560</v>
      </c>
      <c r="F324" s="6">
        <f t="shared" si="6"/>
        <v>40</v>
      </c>
    </row>
    <row r="325" ht="12.75">
      <c r="A325" s="6">
        <v>2024</v>
      </c>
      <c r="B325" s="10" t="s">
        <v>35</v>
      </c>
      <c r="C325" s="10" t="s">
        <v>272</v>
      </c>
      <c r="D325" s="10" t="s">
        <v>75</v>
      </c>
      <c r="E325" s="11">
        <v>-53667.660000000003</v>
      </c>
      <c r="F325" s="6">
        <f t="shared" si="6"/>
        <v>40</v>
      </c>
    </row>
    <row r="326" ht="12.75">
      <c r="A326" s="6">
        <v>2024</v>
      </c>
      <c r="B326" s="10" t="s">
        <v>35</v>
      </c>
      <c r="C326" s="10" t="s">
        <v>272</v>
      </c>
      <c r="D326" s="10" t="s">
        <v>76</v>
      </c>
      <c r="E326" s="11">
        <v>-26446.439999999999</v>
      </c>
      <c r="F326" s="6">
        <f t="shared" si="6"/>
        <v>40</v>
      </c>
    </row>
    <row r="327" ht="12.75">
      <c r="A327" s="6">
        <v>2024</v>
      </c>
      <c r="B327" s="10" t="s">
        <v>35</v>
      </c>
      <c r="C327" s="10" t="s">
        <v>272</v>
      </c>
      <c r="D327" s="10" t="s">
        <v>77</v>
      </c>
      <c r="E327" s="11">
        <v>-9754.4300000000003</v>
      </c>
      <c r="F327" s="6">
        <f t="shared" si="6"/>
        <v>40</v>
      </c>
    </row>
    <row r="328" ht="12.75">
      <c r="A328" s="6">
        <v>2024</v>
      </c>
      <c r="B328" s="10" t="s">
        <v>35</v>
      </c>
      <c r="C328" s="10" t="s">
        <v>272</v>
      </c>
      <c r="D328" s="10" t="s">
        <v>78</v>
      </c>
      <c r="E328" s="11">
        <v>-5497.9499999999998</v>
      </c>
      <c r="F328" s="6">
        <f t="shared" si="6"/>
        <v>40</v>
      </c>
    </row>
    <row r="329" ht="12.75">
      <c r="A329" s="6">
        <v>2024</v>
      </c>
      <c r="B329" s="10" t="s">
        <v>35</v>
      </c>
      <c r="C329" s="10" t="s">
        <v>272</v>
      </c>
      <c r="D329" s="10" t="s">
        <v>79</v>
      </c>
      <c r="E329" s="11">
        <v>-3800</v>
      </c>
      <c r="F329" s="6">
        <f t="shared" si="6"/>
        <v>40</v>
      </c>
    </row>
    <row r="330" ht="12.75">
      <c r="A330" s="6">
        <v>2024</v>
      </c>
      <c r="B330" s="10" t="s">
        <v>35</v>
      </c>
      <c r="C330" s="10" t="s">
        <v>272</v>
      </c>
      <c r="D330" s="10" t="s">
        <v>80</v>
      </c>
      <c r="E330" s="11">
        <v>-35009</v>
      </c>
      <c r="F330" s="6">
        <f t="shared" si="6"/>
        <v>40</v>
      </c>
    </row>
    <row r="331" ht="12.75">
      <c r="A331" s="6">
        <v>2024</v>
      </c>
      <c r="B331" s="10" t="s">
        <v>35</v>
      </c>
      <c r="C331" s="10" t="s">
        <v>272</v>
      </c>
      <c r="D331" s="10" t="s">
        <v>81</v>
      </c>
      <c r="E331" s="11">
        <v>-3500</v>
      </c>
      <c r="F331" s="6">
        <f t="shared" si="6"/>
        <v>40</v>
      </c>
    </row>
    <row r="332" ht="12.75">
      <c r="A332" s="6">
        <v>2024</v>
      </c>
      <c r="B332" s="10" t="s">
        <v>35</v>
      </c>
      <c r="C332" s="10" t="s">
        <v>273</v>
      </c>
      <c r="D332" s="10" t="s">
        <v>131</v>
      </c>
      <c r="E332" s="11">
        <v>-1300</v>
      </c>
      <c r="F332" s="6">
        <f t="shared" si="6"/>
        <v>41</v>
      </c>
    </row>
    <row r="333" ht="12.75">
      <c r="A333" s="6">
        <v>2024</v>
      </c>
      <c r="B333" s="10" t="s">
        <v>35</v>
      </c>
      <c r="C333" s="10" t="s">
        <v>273</v>
      </c>
      <c r="D333" s="10" t="s">
        <v>132</v>
      </c>
      <c r="E333" s="11">
        <v>-300</v>
      </c>
      <c r="F333" s="6">
        <f t="shared" si="6"/>
        <v>41</v>
      </c>
    </row>
    <row r="334" ht="12.75">
      <c r="A334" s="6">
        <v>2024</v>
      </c>
      <c r="B334" s="10" t="s">
        <v>35</v>
      </c>
      <c r="C334" s="10" t="s">
        <v>273</v>
      </c>
      <c r="D334" s="10" t="s">
        <v>133</v>
      </c>
      <c r="E334" s="11">
        <v>-150</v>
      </c>
      <c r="F334" s="6">
        <f t="shared" si="6"/>
        <v>41</v>
      </c>
    </row>
    <row r="335" ht="12.75">
      <c r="A335" s="6">
        <v>2024</v>
      </c>
      <c r="B335" s="10" t="s">
        <v>35</v>
      </c>
      <c r="C335" s="10" t="s">
        <v>273</v>
      </c>
      <c r="D335" s="10" t="s">
        <v>134</v>
      </c>
      <c r="E335" s="11">
        <v>-300</v>
      </c>
      <c r="F335" s="6">
        <f t="shared" si="6"/>
        <v>41</v>
      </c>
    </row>
    <row r="336" ht="12.75">
      <c r="A336" s="6">
        <v>2024</v>
      </c>
      <c r="B336" s="10" t="s">
        <v>35</v>
      </c>
      <c r="C336" s="10" t="s">
        <v>274</v>
      </c>
      <c r="D336" s="10" t="s">
        <v>99</v>
      </c>
      <c r="E336" s="11">
        <v>-500</v>
      </c>
      <c r="F336" s="6">
        <f t="shared" si="6"/>
        <v>42</v>
      </c>
    </row>
    <row r="337" ht="12.75">
      <c r="A337" s="6">
        <v>2024</v>
      </c>
      <c r="B337" s="10" t="s">
        <v>35</v>
      </c>
      <c r="C337" s="10" t="s">
        <v>274</v>
      </c>
      <c r="D337" s="10" t="s">
        <v>100</v>
      </c>
      <c r="E337" s="11">
        <v>-1000</v>
      </c>
      <c r="F337" s="6">
        <f t="shared" si="6"/>
        <v>42</v>
      </c>
    </row>
    <row r="338" ht="12.75">
      <c r="A338" s="6">
        <v>2024</v>
      </c>
      <c r="B338" s="10" t="s">
        <v>35</v>
      </c>
      <c r="C338" s="10" t="s">
        <v>274</v>
      </c>
      <c r="D338" s="10" t="s">
        <v>101</v>
      </c>
      <c r="E338" s="11">
        <v>0</v>
      </c>
      <c r="F338" s="6">
        <f t="shared" si="6"/>
        <v>42</v>
      </c>
    </row>
    <row r="339" ht="12.75">
      <c r="A339" s="6">
        <v>2024</v>
      </c>
      <c r="B339" s="10" t="s">
        <v>35</v>
      </c>
      <c r="C339" s="10" t="s">
        <v>274</v>
      </c>
      <c r="D339" s="10" t="s">
        <v>102</v>
      </c>
      <c r="E339" s="11">
        <v>-1000</v>
      </c>
      <c r="F339" s="6">
        <f t="shared" si="6"/>
        <v>42</v>
      </c>
    </row>
    <row r="340" ht="12.75">
      <c r="A340" s="6">
        <v>2024</v>
      </c>
      <c r="B340" s="10" t="s">
        <v>35</v>
      </c>
      <c r="C340" s="10" t="s">
        <v>275</v>
      </c>
      <c r="D340" s="10" t="s">
        <v>276</v>
      </c>
      <c r="E340" s="11">
        <v>-2000</v>
      </c>
      <c r="F340" s="6">
        <f t="shared" si="6"/>
        <v>43</v>
      </c>
    </row>
    <row r="341" ht="12.75">
      <c r="A341" s="6">
        <v>2024</v>
      </c>
      <c r="B341" s="10" t="s">
        <v>35</v>
      </c>
      <c r="C341" s="10" t="s">
        <v>275</v>
      </c>
      <c r="D341" s="10" t="s">
        <v>145</v>
      </c>
      <c r="E341" s="11">
        <v>-700</v>
      </c>
      <c r="F341" s="6">
        <f t="shared" si="6"/>
        <v>43</v>
      </c>
    </row>
    <row r="342" ht="12.75">
      <c r="A342" s="6">
        <v>2024</v>
      </c>
      <c r="B342" s="10" t="s">
        <v>35</v>
      </c>
      <c r="C342" s="10" t="s">
        <v>275</v>
      </c>
      <c r="D342" s="10" t="s">
        <v>146</v>
      </c>
      <c r="E342" s="11">
        <v>-8500</v>
      </c>
      <c r="F342" s="6">
        <f t="shared" si="6"/>
        <v>43</v>
      </c>
    </row>
    <row r="343" ht="12.75">
      <c r="A343" s="6">
        <v>2024</v>
      </c>
      <c r="B343" s="10" t="s">
        <v>35</v>
      </c>
      <c r="C343" s="10" t="s">
        <v>275</v>
      </c>
      <c r="D343" s="10" t="s">
        <v>147</v>
      </c>
      <c r="E343" s="11">
        <v>-9800</v>
      </c>
      <c r="F343" s="6">
        <f t="shared" si="6"/>
        <v>43</v>
      </c>
    </row>
    <row r="344" ht="12.75">
      <c r="A344" s="6">
        <v>2024</v>
      </c>
      <c r="B344" s="10" t="s">
        <v>35</v>
      </c>
      <c r="C344" s="10" t="s">
        <v>275</v>
      </c>
      <c r="D344" s="10" t="s">
        <v>148</v>
      </c>
      <c r="E344" s="11">
        <v>-1000</v>
      </c>
      <c r="F344" s="6">
        <f t="shared" si="6"/>
        <v>43</v>
      </c>
    </row>
    <row r="345" ht="12.75">
      <c r="A345" s="6">
        <v>2024</v>
      </c>
      <c r="B345" s="10" t="s">
        <v>35</v>
      </c>
      <c r="C345" s="10" t="s">
        <v>275</v>
      </c>
      <c r="D345" s="10" t="s">
        <v>149</v>
      </c>
      <c r="E345" s="11">
        <v>-500</v>
      </c>
      <c r="F345" s="6">
        <f t="shared" si="6"/>
        <v>43</v>
      </c>
    </row>
    <row r="346" ht="12.75">
      <c r="A346" s="6">
        <v>2024</v>
      </c>
      <c r="B346" s="10" t="s">
        <v>35</v>
      </c>
      <c r="C346" s="10" t="s">
        <v>275</v>
      </c>
      <c r="D346" s="10" t="s">
        <v>150</v>
      </c>
      <c r="E346" s="11">
        <v>-1000</v>
      </c>
      <c r="F346" s="6">
        <f t="shared" si="6"/>
        <v>43</v>
      </c>
    </row>
    <row r="347" ht="12.75">
      <c r="A347" s="6">
        <v>2024</v>
      </c>
      <c r="B347" s="10" t="s">
        <v>35</v>
      </c>
      <c r="C347" s="10" t="s">
        <v>275</v>
      </c>
      <c r="D347" s="10" t="s">
        <v>151</v>
      </c>
      <c r="E347" s="11">
        <v>-3600</v>
      </c>
      <c r="F347" s="6">
        <f t="shared" si="6"/>
        <v>43</v>
      </c>
    </row>
    <row r="348" ht="12.75">
      <c r="A348" s="6">
        <v>2024</v>
      </c>
      <c r="B348" s="10" t="s">
        <v>35</v>
      </c>
      <c r="C348" s="10" t="s">
        <v>275</v>
      </c>
      <c r="D348" s="10" t="s">
        <v>152</v>
      </c>
      <c r="E348" s="11">
        <v>-6200</v>
      </c>
      <c r="F348" s="6">
        <f t="shared" si="6"/>
        <v>43</v>
      </c>
    </row>
    <row r="349" ht="12.75">
      <c r="A349" s="6">
        <v>2024</v>
      </c>
      <c r="B349" s="10" t="s">
        <v>35</v>
      </c>
      <c r="C349" s="10" t="s">
        <v>275</v>
      </c>
      <c r="D349" s="10" t="s">
        <v>153</v>
      </c>
      <c r="E349" s="11">
        <v>-16200</v>
      </c>
      <c r="F349" s="6">
        <f t="shared" si="6"/>
        <v>43</v>
      </c>
    </row>
    <row r="350" ht="12.75">
      <c r="A350" s="6">
        <v>2024</v>
      </c>
      <c r="B350" s="10" t="s">
        <v>35</v>
      </c>
      <c r="C350" s="10" t="s">
        <v>275</v>
      </c>
      <c r="D350" s="10" t="s">
        <v>154</v>
      </c>
      <c r="E350" s="11">
        <v>0</v>
      </c>
      <c r="F350" s="6">
        <f t="shared" si="6"/>
        <v>43</v>
      </c>
    </row>
    <row r="351" ht="12.75">
      <c r="A351" s="6">
        <v>2024</v>
      </c>
      <c r="B351" s="10" t="s">
        <v>35</v>
      </c>
      <c r="C351" s="10" t="s">
        <v>275</v>
      </c>
      <c r="D351" s="10" t="s">
        <v>155</v>
      </c>
      <c r="E351" s="11">
        <v>0</v>
      </c>
      <c r="F351" s="6">
        <f t="shared" si="6"/>
        <v>43</v>
      </c>
    </row>
    <row r="352" ht="12.75">
      <c r="A352" s="6">
        <v>2024</v>
      </c>
      <c r="B352" s="10" t="s">
        <v>35</v>
      </c>
      <c r="C352" s="10" t="s">
        <v>275</v>
      </c>
      <c r="D352" s="10" t="s">
        <v>156</v>
      </c>
      <c r="E352" s="11">
        <v>0</v>
      </c>
      <c r="F352" s="6">
        <f t="shared" si="6"/>
        <v>43</v>
      </c>
    </row>
    <row r="353" ht="12.75">
      <c r="A353" s="6">
        <v>2024</v>
      </c>
      <c r="B353" s="10" t="s">
        <v>35</v>
      </c>
      <c r="C353" s="10" t="s">
        <v>275</v>
      </c>
      <c r="D353" s="10" t="s">
        <v>157</v>
      </c>
      <c r="E353" s="11">
        <v>0</v>
      </c>
      <c r="F353" s="6">
        <f t="shared" si="6"/>
        <v>43</v>
      </c>
    </row>
    <row r="354" ht="12.75">
      <c r="A354" s="6">
        <v>2024</v>
      </c>
      <c r="B354" s="10" t="s">
        <v>35</v>
      </c>
      <c r="C354" s="10" t="s">
        <v>275</v>
      </c>
      <c r="D354" s="10" t="s">
        <v>158</v>
      </c>
      <c r="E354" s="11">
        <v>-1400</v>
      </c>
      <c r="F354" s="6">
        <f t="shared" si="6"/>
        <v>43</v>
      </c>
    </row>
    <row r="355" ht="12.75">
      <c r="A355" s="6">
        <v>2024</v>
      </c>
      <c r="B355" s="10" t="s">
        <v>35</v>
      </c>
      <c r="C355" s="10" t="s">
        <v>275</v>
      </c>
      <c r="D355" s="10" t="s">
        <v>159</v>
      </c>
      <c r="E355" s="11">
        <v>-1000</v>
      </c>
      <c r="F355" s="6">
        <f t="shared" si="6"/>
        <v>43</v>
      </c>
    </row>
    <row r="356" ht="12.75">
      <c r="A356" s="6">
        <v>2024</v>
      </c>
      <c r="B356" s="10" t="s">
        <v>35</v>
      </c>
      <c r="C356" s="10" t="s">
        <v>275</v>
      </c>
      <c r="D356" s="10" t="s">
        <v>160</v>
      </c>
      <c r="E356" s="11">
        <v>-13200</v>
      </c>
      <c r="F356" s="6">
        <f t="shared" si="6"/>
        <v>43</v>
      </c>
    </row>
    <row r="357" ht="12.75">
      <c r="A357" s="6">
        <v>2024</v>
      </c>
      <c r="B357" s="10" t="s">
        <v>35</v>
      </c>
      <c r="C357" s="10" t="s">
        <v>275</v>
      </c>
      <c r="D357" s="10" t="s">
        <v>161</v>
      </c>
      <c r="E357" s="11">
        <v>-22000</v>
      </c>
      <c r="F357" s="6">
        <f t="shared" ref="F357:F414" si="7">IF(C357=C356,F356,F356+1)</f>
        <v>43</v>
      </c>
    </row>
    <row r="358" ht="12.75">
      <c r="A358" s="6">
        <v>2024</v>
      </c>
      <c r="B358" s="10" t="s">
        <v>35</v>
      </c>
      <c r="C358" s="10" t="s">
        <v>275</v>
      </c>
      <c r="D358" s="10" t="s">
        <v>162</v>
      </c>
      <c r="E358" s="11">
        <v>-33500</v>
      </c>
      <c r="F358" s="6">
        <f t="shared" si="7"/>
        <v>43</v>
      </c>
    </row>
    <row r="359" ht="12.75">
      <c r="A359" s="6">
        <v>2024</v>
      </c>
      <c r="B359" s="10" t="s">
        <v>35</v>
      </c>
      <c r="C359" s="10" t="s">
        <v>275</v>
      </c>
      <c r="D359" s="10" t="s">
        <v>163</v>
      </c>
      <c r="E359" s="11">
        <v>-16400</v>
      </c>
      <c r="F359" s="6">
        <f t="shared" si="7"/>
        <v>43</v>
      </c>
    </row>
    <row r="360" ht="12.75">
      <c r="A360" s="6">
        <v>2024</v>
      </c>
      <c r="B360" s="10" t="s">
        <v>35</v>
      </c>
      <c r="C360" s="10" t="s">
        <v>275</v>
      </c>
      <c r="D360" s="10" t="s">
        <v>164</v>
      </c>
      <c r="E360" s="11">
        <v>-2200</v>
      </c>
      <c r="F360" s="6">
        <f t="shared" si="7"/>
        <v>43</v>
      </c>
    </row>
    <row r="361" ht="12.75">
      <c r="A361" s="6">
        <v>2024</v>
      </c>
      <c r="B361" s="10" t="s">
        <v>35</v>
      </c>
      <c r="C361" s="10" t="s">
        <v>275</v>
      </c>
      <c r="D361" s="10" t="s">
        <v>165</v>
      </c>
      <c r="E361" s="11">
        <v>-3500</v>
      </c>
      <c r="F361" s="6">
        <f t="shared" si="7"/>
        <v>43</v>
      </c>
    </row>
    <row r="362" ht="12.75">
      <c r="A362" s="6">
        <v>2024</v>
      </c>
      <c r="B362" s="10" t="s">
        <v>35</v>
      </c>
      <c r="C362" s="10" t="s">
        <v>275</v>
      </c>
      <c r="D362" s="10" t="s">
        <v>166</v>
      </c>
      <c r="E362" s="11">
        <v>-2500</v>
      </c>
      <c r="F362" s="6">
        <f t="shared" si="7"/>
        <v>43</v>
      </c>
    </row>
    <row r="363" ht="12.75">
      <c r="A363" s="6">
        <v>2024</v>
      </c>
      <c r="B363" s="10" t="s">
        <v>35</v>
      </c>
      <c r="C363" s="10" t="s">
        <v>275</v>
      </c>
      <c r="D363" s="10" t="s">
        <v>167</v>
      </c>
      <c r="E363" s="11">
        <v>-2500</v>
      </c>
      <c r="F363" s="6">
        <f t="shared" si="7"/>
        <v>43</v>
      </c>
    </row>
    <row r="364" ht="12.75">
      <c r="A364" s="6">
        <v>2024</v>
      </c>
      <c r="B364" s="10" t="s">
        <v>35</v>
      </c>
      <c r="C364" s="10" t="s">
        <v>275</v>
      </c>
      <c r="D364" s="10" t="s">
        <v>168</v>
      </c>
      <c r="E364" s="11">
        <v>-3800</v>
      </c>
      <c r="F364" s="6">
        <f t="shared" si="7"/>
        <v>43</v>
      </c>
    </row>
    <row r="365" ht="12.75">
      <c r="A365" s="6">
        <v>2024</v>
      </c>
      <c r="B365" s="10" t="s">
        <v>35</v>
      </c>
      <c r="C365" s="10" t="s">
        <v>275</v>
      </c>
      <c r="D365" s="10" t="s">
        <v>169</v>
      </c>
      <c r="E365" s="11">
        <v>-1000</v>
      </c>
      <c r="F365" s="6">
        <f t="shared" si="7"/>
        <v>43</v>
      </c>
    </row>
    <row r="366" ht="12.75">
      <c r="A366" s="6">
        <v>2024</v>
      </c>
      <c r="B366" s="10" t="s">
        <v>35</v>
      </c>
      <c r="C366" s="10" t="s">
        <v>275</v>
      </c>
      <c r="D366" s="10" t="s">
        <v>170</v>
      </c>
      <c r="E366" s="11">
        <v>-20000</v>
      </c>
      <c r="F366" s="6">
        <f t="shared" si="7"/>
        <v>43</v>
      </c>
    </row>
    <row r="367" ht="12.75">
      <c r="A367" s="6">
        <v>2024</v>
      </c>
      <c r="B367" s="10" t="s">
        <v>35</v>
      </c>
      <c r="C367" s="10" t="s">
        <v>275</v>
      </c>
      <c r="D367" s="10" t="s">
        <v>277</v>
      </c>
      <c r="E367" s="11">
        <v>-500</v>
      </c>
      <c r="F367" s="6">
        <f t="shared" si="7"/>
        <v>43</v>
      </c>
    </row>
    <row r="368" ht="12.75">
      <c r="A368" s="6">
        <v>2024</v>
      </c>
      <c r="B368" s="10" t="s">
        <v>35</v>
      </c>
      <c r="C368" s="10" t="s">
        <v>275</v>
      </c>
      <c r="D368" s="10" t="s">
        <v>173</v>
      </c>
      <c r="E368" s="11">
        <v>-7306.9499999999998</v>
      </c>
      <c r="F368" s="6">
        <f t="shared" si="7"/>
        <v>43</v>
      </c>
    </row>
    <row r="369" ht="12.75">
      <c r="A369" s="6">
        <v>2024</v>
      </c>
      <c r="B369" s="10" t="s">
        <v>35</v>
      </c>
      <c r="C369" s="10" t="s">
        <v>275</v>
      </c>
      <c r="D369" s="10" t="s">
        <v>174</v>
      </c>
      <c r="E369" s="11">
        <v>-95515.830000000002</v>
      </c>
      <c r="F369" s="6">
        <f t="shared" si="7"/>
        <v>43</v>
      </c>
    </row>
    <row r="370" ht="12.75">
      <c r="A370" s="6">
        <v>2024</v>
      </c>
      <c r="B370" s="10" t="s">
        <v>35</v>
      </c>
      <c r="C370" s="10" t="s">
        <v>275</v>
      </c>
      <c r="D370" s="10" t="s">
        <v>175</v>
      </c>
      <c r="E370" s="11">
        <v>-11000</v>
      </c>
      <c r="F370" s="6">
        <f t="shared" si="7"/>
        <v>43</v>
      </c>
    </row>
    <row r="371" ht="12.75">
      <c r="A371" s="6">
        <v>2024</v>
      </c>
      <c r="B371" s="10" t="s">
        <v>35</v>
      </c>
      <c r="C371" s="10" t="s">
        <v>275</v>
      </c>
      <c r="D371" s="10" t="s">
        <v>176</v>
      </c>
      <c r="E371" s="11">
        <v>-3820.6199999999999</v>
      </c>
      <c r="F371" s="6">
        <f t="shared" si="7"/>
        <v>43</v>
      </c>
    </row>
    <row r="372" ht="12.75">
      <c r="A372" s="6">
        <v>2024</v>
      </c>
      <c r="B372" s="10" t="s">
        <v>35</v>
      </c>
      <c r="C372" s="10" t="s">
        <v>275</v>
      </c>
      <c r="D372" s="10" t="s">
        <v>177</v>
      </c>
      <c r="E372" s="11">
        <v>-1000</v>
      </c>
      <c r="F372" s="6">
        <f t="shared" si="7"/>
        <v>43</v>
      </c>
    </row>
    <row r="373" ht="12.75">
      <c r="A373" s="6">
        <v>2024</v>
      </c>
      <c r="B373" s="10" t="s">
        <v>35</v>
      </c>
      <c r="C373" s="10" t="s">
        <v>275</v>
      </c>
      <c r="D373" s="10" t="s">
        <v>278</v>
      </c>
      <c r="E373" s="11">
        <v>0</v>
      </c>
      <c r="F373" s="6">
        <f t="shared" si="7"/>
        <v>43</v>
      </c>
    </row>
    <row r="374" ht="12.75">
      <c r="A374" s="6">
        <v>2024</v>
      </c>
      <c r="B374" s="10" t="s">
        <v>35</v>
      </c>
      <c r="C374" s="10" t="s">
        <v>279</v>
      </c>
      <c r="D374" s="10" t="s">
        <v>104</v>
      </c>
      <c r="E374" s="11">
        <v>-20000</v>
      </c>
      <c r="F374" s="6">
        <f t="shared" si="7"/>
        <v>44</v>
      </c>
    </row>
    <row r="375" ht="12.75">
      <c r="A375" s="6">
        <v>2024</v>
      </c>
      <c r="B375" s="10" t="s">
        <v>35</v>
      </c>
      <c r="C375" s="10" t="s">
        <v>279</v>
      </c>
      <c r="D375" s="10" t="s">
        <v>105</v>
      </c>
      <c r="E375" s="11">
        <v>-38000</v>
      </c>
      <c r="F375" s="6">
        <f t="shared" si="7"/>
        <v>44</v>
      </c>
    </row>
    <row r="376" ht="12.75">
      <c r="A376" s="6">
        <v>2024</v>
      </c>
      <c r="B376" s="10" t="s">
        <v>35</v>
      </c>
      <c r="C376" s="10" t="s">
        <v>279</v>
      </c>
      <c r="D376" s="10" t="s">
        <v>106</v>
      </c>
      <c r="E376" s="11">
        <v>-33000</v>
      </c>
      <c r="F376" s="6">
        <f t="shared" si="7"/>
        <v>44</v>
      </c>
    </row>
    <row r="377" ht="12.75">
      <c r="A377" s="6">
        <v>2024</v>
      </c>
      <c r="B377" s="10" t="s">
        <v>35</v>
      </c>
      <c r="C377" s="10" t="s">
        <v>279</v>
      </c>
      <c r="D377" s="10" t="s">
        <v>280</v>
      </c>
      <c r="E377" s="11">
        <v>-2000</v>
      </c>
      <c r="F377" s="6">
        <f t="shared" si="7"/>
        <v>44</v>
      </c>
    </row>
    <row r="378" ht="12.75">
      <c r="A378" s="6">
        <v>2024</v>
      </c>
      <c r="B378" s="10" t="s">
        <v>35</v>
      </c>
      <c r="C378" s="10" t="s">
        <v>279</v>
      </c>
      <c r="D378" s="10" t="s">
        <v>108</v>
      </c>
      <c r="E378" s="11">
        <v>-1000</v>
      </c>
      <c r="F378" s="6">
        <f t="shared" si="7"/>
        <v>44</v>
      </c>
    </row>
    <row r="379" ht="12.75">
      <c r="A379" s="6">
        <v>2024</v>
      </c>
      <c r="B379" s="10" t="s">
        <v>35</v>
      </c>
      <c r="C379" s="10" t="s">
        <v>279</v>
      </c>
      <c r="D379" s="10" t="s">
        <v>109</v>
      </c>
      <c r="E379" s="11">
        <v>-6000</v>
      </c>
      <c r="F379" s="6">
        <f t="shared" si="7"/>
        <v>44</v>
      </c>
    </row>
    <row r="380" ht="12.75">
      <c r="A380" s="6">
        <v>2024</v>
      </c>
      <c r="B380" s="10" t="s">
        <v>35</v>
      </c>
      <c r="C380" s="10" t="s">
        <v>279</v>
      </c>
      <c r="D380" s="10" t="s">
        <v>110</v>
      </c>
      <c r="E380" s="11">
        <v>-250</v>
      </c>
      <c r="F380" s="6">
        <f t="shared" si="7"/>
        <v>44</v>
      </c>
    </row>
    <row r="381" ht="12.75">
      <c r="A381" s="6">
        <v>2024</v>
      </c>
      <c r="B381" s="10" t="s">
        <v>35</v>
      </c>
      <c r="C381" s="10" t="s">
        <v>279</v>
      </c>
      <c r="D381" s="10" t="s">
        <v>111</v>
      </c>
      <c r="E381" s="11">
        <v>-5000</v>
      </c>
      <c r="F381" s="6">
        <f t="shared" si="7"/>
        <v>44</v>
      </c>
    </row>
    <row r="382" ht="12.75">
      <c r="A382" s="6">
        <v>2024</v>
      </c>
      <c r="B382" s="10" t="s">
        <v>35</v>
      </c>
      <c r="C382" s="10" t="s">
        <v>279</v>
      </c>
      <c r="D382" s="10" t="s">
        <v>112</v>
      </c>
      <c r="E382" s="11">
        <v>-200</v>
      </c>
      <c r="F382" s="6">
        <f t="shared" si="7"/>
        <v>44</v>
      </c>
    </row>
    <row r="383" ht="12.75">
      <c r="A383" s="6">
        <v>2024</v>
      </c>
      <c r="B383" s="10" t="s">
        <v>35</v>
      </c>
      <c r="C383" s="10" t="s">
        <v>281</v>
      </c>
      <c r="D383" s="10" t="s">
        <v>64</v>
      </c>
      <c r="E383" s="11">
        <v>-2500</v>
      </c>
      <c r="F383" s="6">
        <f t="shared" si="7"/>
        <v>45</v>
      </c>
    </row>
    <row r="384" ht="12.75">
      <c r="A384" s="6">
        <v>2024</v>
      </c>
      <c r="B384" s="10" t="s">
        <v>35</v>
      </c>
      <c r="C384" s="10" t="s">
        <v>281</v>
      </c>
      <c r="D384" s="10" t="s">
        <v>65</v>
      </c>
      <c r="E384" s="11">
        <v>-750</v>
      </c>
      <c r="F384" s="6">
        <f t="shared" si="7"/>
        <v>45</v>
      </c>
    </row>
    <row r="385" ht="12.75">
      <c r="A385" s="6">
        <v>2024</v>
      </c>
      <c r="B385" s="10" t="s">
        <v>35</v>
      </c>
      <c r="C385" s="10" t="s">
        <v>281</v>
      </c>
      <c r="D385" s="10" t="s">
        <v>66</v>
      </c>
      <c r="E385" s="11">
        <v>-650</v>
      </c>
      <c r="F385" s="6">
        <f t="shared" si="7"/>
        <v>45</v>
      </c>
    </row>
    <row r="386" ht="12.75">
      <c r="A386" s="6">
        <v>2024</v>
      </c>
      <c r="B386" s="10" t="s">
        <v>35</v>
      </c>
      <c r="C386" s="10" t="s">
        <v>282</v>
      </c>
      <c r="D386" s="10" t="s">
        <v>37</v>
      </c>
      <c r="E386" s="11">
        <v>-3500</v>
      </c>
      <c r="F386" s="6">
        <f t="shared" si="7"/>
        <v>46</v>
      </c>
    </row>
    <row r="387" ht="12.75">
      <c r="A387" s="6">
        <v>2024</v>
      </c>
      <c r="B387" s="10" t="s">
        <v>35</v>
      </c>
      <c r="C387" s="10" t="s">
        <v>282</v>
      </c>
      <c r="D387" s="10" t="s">
        <v>38</v>
      </c>
      <c r="E387" s="11">
        <v>0</v>
      </c>
      <c r="F387" s="6">
        <f t="shared" si="7"/>
        <v>46</v>
      </c>
    </row>
    <row r="388" ht="12.75">
      <c r="A388" s="6">
        <v>2024</v>
      </c>
      <c r="B388" s="10" t="s">
        <v>35</v>
      </c>
      <c r="C388" s="10" t="s">
        <v>282</v>
      </c>
      <c r="D388" s="10" t="s">
        <v>39</v>
      </c>
      <c r="E388" s="11">
        <v>-750</v>
      </c>
      <c r="F388" s="6">
        <f t="shared" si="7"/>
        <v>46</v>
      </c>
    </row>
    <row r="389" ht="12.75">
      <c r="A389" s="6">
        <v>2024</v>
      </c>
      <c r="B389" s="10" t="s">
        <v>35</v>
      </c>
      <c r="C389" s="10" t="s">
        <v>282</v>
      </c>
      <c r="D389" s="10" t="s">
        <v>40</v>
      </c>
      <c r="E389" s="11">
        <v>-18000</v>
      </c>
      <c r="F389" s="6">
        <f t="shared" si="7"/>
        <v>46</v>
      </c>
    </row>
    <row r="390" ht="12.75">
      <c r="A390" s="6">
        <v>2024</v>
      </c>
      <c r="B390" s="10" t="s">
        <v>35</v>
      </c>
      <c r="C390" s="10" t="s">
        <v>282</v>
      </c>
      <c r="D390" s="10" t="s">
        <v>41</v>
      </c>
      <c r="E390" s="11">
        <v>-4000</v>
      </c>
      <c r="F390" s="6">
        <f t="shared" si="7"/>
        <v>46</v>
      </c>
    </row>
    <row r="391" ht="12.75">
      <c r="A391" s="6">
        <v>2024</v>
      </c>
      <c r="B391" s="10" t="s">
        <v>35</v>
      </c>
      <c r="C391" s="10" t="s">
        <v>282</v>
      </c>
      <c r="D391" s="10" t="s">
        <v>42</v>
      </c>
      <c r="E391" s="11">
        <v>-3000</v>
      </c>
      <c r="F391" s="6">
        <f t="shared" si="7"/>
        <v>46</v>
      </c>
    </row>
    <row r="392" ht="12.75">
      <c r="A392" s="6">
        <v>2024</v>
      </c>
      <c r="B392" s="10" t="s">
        <v>35</v>
      </c>
      <c r="C392" s="10" t="s">
        <v>282</v>
      </c>
      <c r="D392" s="10" t="s">
        <v>43</v>
      </c>
      <c r="E392" s="11">
        <v>-1500</v>
      </c>
      <c r="F392" s="6">
        <f t="shared" si="7"/>
        <v>46</v>
      </c>
    </row>
    <row r="393" ht="12.75">
      <c r="A393" s="6">
        <v>2024</v>
      </c>
      <c r="B393" s="10" t="s">
        <v>35</v>
      </c>
      <c r="C393" s="10" t="s">
        <v>282</v>
      </c>
      <c r="D393" s="10" t="s">
        <v>44</v>
      </c>
      <c r="E393" s="11">
        <v>-1000</v>
      </c>
      <c r="F393" s="6">
        <f t="shared" si="7"/>
        <v>46</v>
      </c>
    </row>
    <row r="394" ht="12.75">
      <c r="A394" s="6">
        <v>2024</v>
      </c>
      <c r="B394" s="10" t="s">
        <v>35</v>
      </c>
      <c r="C394" s="10" t="s">
        <v>282</v>
      </c>
      <c r="D394" s="10" t="s">
        <v>45</v>
      </c>
      <c r="E394" s="11">
        <v>-3000</v>
      </c>
      <c r="F394" s="6">
        <f t="shared" si="7"/>
        <v>46</v>
      </c>
    </row>
    <row r="395" ht="12.75">
      <c r="A395" s="6">
        <v>2024</v>
      </c>
      <c r="B395" s="10" t="s">
        <v>35</v>
      </c>
      <c r="C395" s="10" t="s">
        <v>282</v>
      </c>
      <c r="D395" s="10" t="s">
        <v>46</v>
      </c>
      <c r="E395" s="11">
        <v>-2000</v>
      </c>
      <c r="F395" s="6">
        <f t="shared" si="7"/>
        <v>46</v>
      </c>
    </row>
    <row r="396" ht="12.75">
      <c r="A396" s="6">
        <v>2024</v>
      </c>
      <c r="B396" s="10" t="s">
        <v>35</v>
      </c>
      <c r="C396" s="10" t="s">
        <v>282</v>
      </c>
      <c r="D396" s="10" t="s">
        <v>283</v>
      </c>
      <c r="E396" s="11">
        <v>-500</v>
      </c>
      <c r="F396" s="6">
        <f t="shared" si="7"/>
        <v>46</v>
      </c>
    </row>
    <row r="397" ht="12.75">
      <c r="A397" s="6">
        <v>2024</v>
      </c>
      <c r="B397" s="10" t="s">
        <v>35</v>
      </c>
      <c r="C397" s="10" t="s">
        <v>282</v>
      </c>
      <c r="D397" s="10" t="s">
        <v>47</v>
      </c>
      <c r="E397" s="11">
        <v>-500</v>
      </c>
      <c r="F397" s="6">
        <f t="shared" si="7"/>
        <v>46</v>
      </c>
    </row>
    <row r="398" ht="12.75">
      <c r="A398" s="6">
        <v>2024</v>
      </c>
      <c r="B398" s="10" t="s">
        <v>35</v>
      </c>
      <c r="C398" s="10" t="s">
        <v>282</v>
      </c>
      <c r="D398" s="10" t="s">
        <v>48</v>
      </c>
      <c r="E398" s="11">
        <v>-4500</v>
      </c>
      <c r="F398" s="6">
        <f t="shared" si="7"/>
        <v>46</v>
      </c>
    </row>
    <row r="399" ht="12.75">
      <c r="A399" s="6">
        <v>2024</v>
      </c>
      <c r="B399" s="10" t="s">
        <v>35</v>
      </c>
      <c r="C399" s="10" t="s">
        <v>282</v>
      </c>
      <c r="D399" s="10" t="s">
        <v>49</v>
      </c>
      <c r="E399" s="11">
        <v>-5000</v>
      </c>
      <c r="F399" s="6">
        <f t="shared" si="7"/>
        <v>46</v>
      </c>
    </row>
    <row r="400" ht="12.75">
      <c r="A400" s="6">
        <v>2024</v>
      </c>
      <c r="B400" s="10" t="s">
        <v>35</v>
      </c>
      <c r="C400" s="10" t="s">
        <v>282</v>
      </c>
      <c r="D400" s="10" t="s">
        <v>51</v>
      </c>
      <c r="E400" s="11">
        <v>-6618</v>
      </c>
      <c r="F400" s="6">
        <f t="shared" si="7"/>
        <v>46</v>
      </c>
    </row>
    <row r="401" ht="12.75">
      <c r="A401" s="6">
        <v>2024</v>
      </c>
      <c r="B401" s="10" t="s">
        <v>35</v>
      </c>
      <c r="C401" s="10" t="s">
        <v>282</v>
      </c>
      <c r="D401" s="10" t="s">
        <v>52</v>
      </c>
      <c r="E401" s="11">
        <v>-86513.919999999998</v>
      </c>
      <c r="F401" s="6">
        <f t="shared" si="7"/>
        <v>46</v>
      </c>
    </row>
    <row r="402" ht="12.75">
      <c r="A402" s="6">
        <v>2024</v>
      </c>
      <c r="B402" s="10" t="s">
        <v>35</v>
      </c>
      <c r="C402" s="10" t="s">
        <v>282</v>
      </c>
      <c r="D402" s="10" t="s">
        <v>53</v>
      </c>
      <c r="E402" s="11">
        <v>-2560</v>
      </c>
      <c r="F402" s="6">
        <f t="shared" si="7"/>
        <v>46</v>
      </c>
    </row>
    <row r="403" ht="12.75">
      <c r="A403" s="6">
        <v>2024</v>
      </c>
      <c r="B403" s="10" t="s">
        <v>35</v>
      </c>
      <c r="C403" s="10" t="s">
        <v>282</v>
      </c>
      <c r="D403" s="10" t="s">
        <v>54</v>
      </c>
      <c r="E403" s="11">
        <v>-11000</v>
      </c>
      <c r="F403" s="6">
        <f t="shared" si="7"/>
        <v>46</v>
      </c>
    </row>
    <row r="404" ht="12.75">
      <c r="A404" s="6">
        <v>2024</v>
      </c>
      <c r="B404" s="10" t="s">
        <v>35</v>
      </c>
      <c r="C404" s="10" t="s">
        <v>282</v>
      </c>
      <c r="D404" s="10" t="s">
        <v>55</v>
      </c>
      <c r="E404" s="11">
        <v>-1000</v>
      </c>
      <c r="F404" s="6">
        <f t="shared" si="7"/>
        <v>46</v>
      </c>
    </row>
    <row r="405" ht="12.75">
      <c r="A405" s="6">
        <v>2024</v>
      </c>
      <c r="B405" s="10" t="s">
        <v>35</v>
      </c>
      <c r="C405" s="10" t="s">
        <v>284</v>
      </c>
      <c r="D405" s="10" t="s">
        <v>285</v>
      </c>
      <c r="E405" s="11">
        <v>-1000</v>
      </c>
      <c r="F405" s="6">
        <f t="shared" si="7"/>
        <v>47</v>
      </c>
    </row>
    <row r="406" ht="12.75">
      <c r="A406" s="6">
        <v>2024</v>
      </c>
      <c r="B406" s="10" t="s">
        <v>35</v>
      </c>
      <c r="C406" s="10" t="s">
        <v>284</v>
      </c>
      <c r="D406" s="10" t="s">
        <v>84</v>
      </c>
      <c r="E406" s="11">
        <v>-1000</v>
      </c>
      <c r="F406" s="6">
        <f t="shared" si="7"/>
        <v>47</v>
      </c>
    </row>
    <row r="407" ht="12.75">
      <c r="A407" s="6">
        <v>2024</v>
      </c>
      <c r="B407" s="10" t="s">
        <v>35</v>
      </c>
      <c r="C407" s="10" t="s">
        <v>284</v>
      </c>
      <c r="D407" s="10" t="s">
        <v>85</v>
      </c>
      <c r="E407" s="11">
        <v>-1500</v>
      </c>
      <c r="F407" s="6">
        <f t="shared" si="7"/>
        <v>47</v>
      </c>
    </row>
    <row r="408" ht="12.75">
      <c r="A408" s="6">
        <v>2024</v>
      </c>
      <c r="B408" s="10" t="s">
        <v>35</v>
      </c>
      <c r="C408" s="10" t="s">
        <v>284</v>
      </c>
      <c r="D408" s="10" t="s">
        <v>86</v>
      </c>
      <c r="E408" s="11">
        <v>-500</v>
      </c>
      <c r="F408" s="6">
        <f t="shared" si="7"/>
        <v>47</v>
      </c>
    </row>
    <row r="409" ht="12.75">
      <c r="A409" s="6">
        <v>2024</v>
      </c>
      <c r="B409" s="10" t="s">
        <v>35</v>
      </c>
      <c r="C409" s="10" t="s">
        <v>284</v>
      </c>
      <c r="D409" s="10" t="s">
        <v>87</v>
      </c>
      <c r="E409" s="11">
        <v>-2000</v>
      </c>
      <c r="F409" s="6">
        <f t="shared" si="7"/>
        <v>47</v>
      </c>
    </row>
    <row r="410" ht="12.75">
      <c r="A410" s="6">
        <v>2024</v>
      </c>
      <c r="B410" s="10" t="s">
        <v>35</v>
      </c>
      <c r="C410" s="10" t="s">
        <v>284</v>
      </c>
      <c r="D410" s="10" t="s">
        <v>286</v>
      </c>
      <c r="E410" s="11">
        <v>-1000</v>
      </c>
      <c r="F410" s="6">
        <f t="shared" si="7"/>
        <v>47</v>
      </c>
    </row>
    <row r="411" ht="12.75">
      <c r="A411" s="6">
        <v>2024</v>
      </c>
      <c r="B411" s="10" t="s">
        <v>35</v>
      </c>
      <c r="C411" s="10" t="s">
        <v>284</v>
      </c>
      <c r="D411" s="10" t="s">
        <v>90</v>
      </c>
      <c r="E411" s="11">
        <v>-20000</v>
      </c>
      <c r="F411" s="6">
        <f t="shared" si="7"/>
        <v>47</v>
      </c>
    </row>
    <row r="412" ht="12.75">
      <c r="A412" s="6">
        <v>2024</v>
      </c>
      <c r="B412" s="10" t="s">
        <v>35</v>
      </c>
      <c r="C412" s="10" t="s">
        <v>284</v>
      </c>
      <c r="D412" s="10" t="s">
        <v>91</v>
      </c>
      <c r="E412" s="11">
        <v>-1530</v>
      </c>
      <c r="F412" s="6">
        <f t="shared" si="7"/>
        <v>47</v>
      </c>
    </row>
    <row r="413" ht="12.75">
      <c r="A413" s="6">
        <v>2024</v>
      </c>
      <c r="B413" s="10" t="s">
        <v>35</v>
      </c>
      <c r="C413" s="10" t="s">
        <v>284</v>
      </c>
      <c r="D413" s="10" t="s">
        <v>92</v>
      </c>
      <c r="E413" s="11">
        <v>0</v>
      </c>
      <c r="F413" s="6">
        <f t="shared" si="7"/>
        <v>47</v>
      </c>
    </row>
    <row r="414" ht="12.75">
      <c r="A414" s="6">
        <v>2024</v>
      </c>
      <c r="B414" s="10" t="s">
        <v>35</v>
      </c>
      <c r="C414" s="10" t="s">
        <v>284</v>
      </c>
      <c r="D414" s="10" t="s">
        <v>93</v>
      </c>
      <c r="E414" s="11">
        <v>0</v>
      </c>
      <c r="F414" s="6">
        <f t="shared" si="7"/>
        <v>47</v>
      </c>
    </row>
  </sheetData>
  <autoFilter ref="A1:F414"/>
  <printOptions headings="1" gridLines="0"/>
  <pageMargins left="0.5" right="0.5" top="0.5" bottom="0.5" header="0" footer="0"/>
  <pageSetup paperSize="9" scale="42" fitToWidth="1" fitToHeight="0" pageOrder="downThenOver" orientation="landscape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06A0000-006E-4D93-ACD7-004F00BD00E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A2:F9999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ONLYOFFICE/8.2.2.22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Oksana Podoba</dc:creator>
  <cp:keywords/>
  <dc:description/>
  <cp:revision>3</cp:revision>
  <dcterms:created xsi:type="dcterms:W3CDTF">2022-09-26T16:02:08Z</dcterms:created>
  <dcterms:modified xsi:type="dcterms:W3CDTF">2024-12-18T00:29:33Z</dcterms:modified>
  <cp:category/>
  <cp:contentStatus/>
</cp:coreProperties>
</file>