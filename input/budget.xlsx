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externalReferences>
    <externalReference r:id="rId1"/>
  </externalReferences>
  <definedNames>
    <definedName name="_xlnm._FilterDatabase" localSheetId="0" hidden="1">Sheet1!$A$1:$G$776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Sheet1!$A$1:$G$776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<sst xmlns="http://schemas.openxmlformats.org/spreadsheetml/2006/main" count="312" uniqueCount="312">
  <si>
    <t>Year</t>
  </si>
  <si>
    <t>InOrOut</t>
  </si>
  <si>
    <t>Category</t>
  </si>
  <si>
    <t>Account</t>
  </si>
  <si>
    <t>Budget</t>
  </si>
  <si>
    <t>Comment</t>
  </si>
  <si>
    <t>In</t>
  </si>
  <si>
    <t>Contributions</t>
  </si>
  <si>
    <t xml:space="preserve">4001 Classis Assessments</t>
  </si>
  <si>
    <t xml:space="preserve">4010 Current Year Pledges</t>
  </si>
  <si>
    <t xml:space="preserve">4012 Non Pledge Contributions</t>
  </si>
  <si>
    <t xml:space="preserve">4013 Vespers Offering</t>
  </si>
  <si>
    <t xml:space="preserve">4017 Special Offerings</t>
  </si>
  <si>
    <t xml:space="preserve">4021 Charitable Distributions</t>
  </si>
  <si>
    <t xml:space="preserve">4023 Online Giving Contribution</t>
  </si>
  <si>
    <t xml:space="preserve">4025 Concert Series</t>
  </si>
  <si>
    <t>Covenant</t>
  </si>
  <si>
    <t xml:space="preserve">4022 Wednesday Lunch</t>
  </si>
  <si>
    <t xml:space="preserve">4026 Audio/Visual Technology</t>
  </si>
  <si>
    <t xml:space="preserve">4061 McDonald (Covenant)</t>
  </si>
  <si>
    <t xml:space="preserve">4062 Covenant Fund Income</t>
  </si>
  <si>
    <t xml:space="preserve">4063 Covenant Income for M&amp;B</t>
  </si>
  <si>
    <t xml:space="preserve">Investment Income</t>
  </si>
  <si>
    <t xml:space="preserve">4027 Checking Account</t>
  </si>
  <si>
    <t xml:space="preserve">4041 Endowment Income</t>
  </si>
  <si>
    <t xml:space="preserve">4043 Schermerhorn Income</t>
  </si>
  <si>
    <t xml:space="preserve">4044 Birch Income</t>
  </si>
  <si>
    <t xml:space="preserve">4045 UP Mission Fund Income</t>
  </si>
  <si>
    <t xml:space="preserve">4049 Tercentenary Income</t>
  </si>
  <si>
    <t xml:space="preserve">Other income</t>
  </si>
  <si>
    <t xml:space="preserve">4052 Facility Use Income</t>
  </si>
  <si>
    <t xml:space="preserve">4053 Misc Income</t>
  </si>
  <si>
    <t xml:space="preserve">4054 Rental Income</t>
  </si>
  <si>
    <t xml:space="preserve">4055 Flowers income</t>
  </si>
  <si>
    <t xml:space="preserve">4056 Chancel Guild Income/Cook Trust</t>
  </si>
  <si>
    <t xml:space="preserve">xxxx Sr. High Youth mission trip (new)</t>
  </si>
  <si>
    <t>Out</t>
  </si>
  <si>
    <t>Administration</t>
  </si>
  <si>
    <t xml:space="preserve">9005 Computer Maint/Repair/Internet</t>
  </si>
  <si>
    <t xml:space="preserve">9007 Audio Visual Contract Services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</si>
  <si>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</si>
  <si>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</si>
  <si>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</si>
  <si>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</si>
  <si>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</si>
  <si>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</si>
  <si>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</si>
  <si>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</si>
  <si>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</si>
  <si>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</si>
  <si>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</si>
  <si>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</si>
  <si>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</si>
  <si>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</si>
  <si>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</si>
  <si>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</si>
  <si>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</t>
  </si>
  <si>
    <t xml:space="preserve">Adult Ed</t>
  </si>
  <si>
    <t xml:space="preserve">6410 Devotional Literature/Small groups Literature</t>
  </si>
  <si>
    <t xml:space="preserve">6420 Guest Spearkers and Adult Forum</t>
  </si>
  <si>
    <t xml:space="preserve">6430 Lenten Programming</t>
  </si>
  <si>
    <t xml:space="preserve">6440 Resources (Adult Ed.)</t>
  </si>
  <si>
    <t xml:space="preserve">6445 Adult Retreats and Workshops</t>
  </si>
  <si>
    <t xml:space="preserve">6450 Small Groups</t>
  </si>
  <si>
    <t>Archives</t>
  </si>
  <si>
    <t xml:space="preserve">8110 Archives &amp; Restoration</t>
  </si>
  <si>
    <t xml:space="preserve">8111 Four Chaplains(6 people)</t>
  </si>
  <si>
    <t xml:space="preserve">8125 Supplies Archives</t>
  </si>
  <si>
    <t xml:space="preserve">Care &amp; Support</t>
  </si>
  <si>
    <t xml:space="preserve">6505 Honorariums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</si>
  <si>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</si>
  <si>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</si>
  <si>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</si>
  <si>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</si>
  <si>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Care &amp; Support Associate Pastor</t>
  </si>
  <si>
    <t xml:space="preserve">5051 Continuing Ed (Assoc Pastor)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</si>
  <si>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</si>
  <si>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</si>
  <si>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</si>
  <si>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</si>
  <si>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</si>
  <si>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</si>
  <si>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</si>
  <si>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>Communications</t>
  </si>
  <si>
    <t xml:space="preserve">9111 Advertising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</si>
  <si>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</si>
  <si>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</si>
  <si>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</si>
  <si>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</si>
  <si>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 (new)</t>
  </si>
  <si>
    <t xml:space="preserve">Communications Staff</t>
  </si>
  <si>
    <t xml:space="preserve">9121 Wages Communication Specialist</t>
  </si>
  <si>
    <t xml:space="preserve">9122 FICA Communication Specialist</t>
  </si>
  <si>
    <t xml:space="preserve">9123 Retirement Communication Speicalist</t>
  </si>
  <si>
    <t xml:space="preserve">9125 Continuing Education</t>
  </si>
  <si>
    <t xml:space="preserve">Covenant Fund</t>
  </si>
  <si>
    <t xml:space="preserve">6350 Other Covenant Programs</t>
  </si>
  <si>
    <t xml:space="preserve">Covenant Lunn</t>
  </si>
  <si>
    <t xml:space="preserve">6356 Lunn Office</t>
  </si>
  <si>
    <t xml:space="preserve">Creation Care</t>
  </si>
  <si>
    <t xml:space="preserve">6806 Composting</t>
  </si>
  <si>
    <t xml:space="preserve">6807 Supplies</t>
  </si>
  <si>
    <t xml:space="preserve">6808 Recycled Paper</t>
  </si>
  <si>
    <t xml:space="preserve">6809 Media</t>
  </si>
  <si>
    <t>Finance</t>
  </si>
  <si>
    <t xml:space="preserve">8005 Audit and Consulting</t>
  </si>
  <si>
    <t xml:space="preserve">8010 Classis Assessments</t>
  </si>
  <si>
    <t xml:space="preserve">8015 Insurance</t>
  </si>
  <si>
    <t xml:space="preserve">8020 Misc Finance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</si>
  <si>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</si>
  <si>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</si>
  <si>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</si>
  <si>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</si>
  <si>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</si>
  <si>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>Library</t>
  </si>
  <si>
    <t xml:space="preserve">6404 Period./Books/Newsp.for ass. pastor</t>
  </si>
  <si>
    <t xml:space="preserve">6405 Library Books</t>
  </si>
  <si>
    <t xml:space="preserve">6435 Library Periodicals &amp; Fees</t>
  </si>
  <si>
    <t xml:space="preserve">6460 Library Supplies &amp; Equipment</t>
  </si>
  <si>
    <t>M&amp;B</t>
  </si>
  <si>
    <t xml:space="preserve">6303 Undesignated and Emergency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</si>
  <si>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</si>
  <si>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</si>
  <si>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</si>
  <si>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</si>
  <si>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</si>
  <si>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</si>
  <si>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</si>
  <si>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</si>
  <si>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M&amp;B (UP Mission)</t>
  </si>
  <si>
    <t xml:space="preserve">6326 UP Mission</t>
  </si>
  <si>
    <t>Membership</t>
  </si>
  <si>
    <t xml:space="preserve">6605 Churchwide Social Events</t>
  </si>
  <si>
    <t xml:space="preserve">6610 Coffee Hour</t>
  </si>
  <si>
    <t xml:space="preserve">6620 Supplies Hospitality</t>
  </si>
  <si>
    <t xml:space="preserve">6705 Membership Committee</t>
  </si>
  <si>
    <t xml:space="preserve">Mission &amp; Volunteer</t>
  </si>
  <si>
    <t xml:space="preserve">6366 Wednesday Lunch</t>
  </si>
  <si>
    <t xml:space="preserve">6367 Mission &amp; Volunteer Expense</t>
  </si>
  <si>
    <t xml:space="preserve">6368 Kitchen supplies(new)</t>
  </si>
  <si>
    <t xml:space="preserve">6369 To Go Containers (new)</t>
  </si>
  <si>
    <t xml:space="preserve">Mission &amp; Volunteer Staff</t>
  </si>
  <si>
    <t xml:space="preserve">6373 Wages Lunch Coordinator</t>
  </si>
  <si>
    <t xml:space="preserve">6374 FICA Lunch Coordinator</t>
  </si>
  <si>
    <t>Property</t>
  </si>
  <si>
    <t xml:space="preserve">7001 Custodian Fee/Other serv. fee(new)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</si>
  <si>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</si>
  <si>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</si>
  <si>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</si>
  <si>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</si>
  <si>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</si>
  <si>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</si>
  <si>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</si>
  <si>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</si>
  <si>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</si>
  <si>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</si>
  <si>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</si>
  <si>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</si>
  <si>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</si>
  <si>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</si>
  <si>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</si>
  <si>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</si>
  <si>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</si>
  <si>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</si>
  <si>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</si>
  <si>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</si>
  <si>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</si>
  <si>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</si>
  <si>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</si>
  <si>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</si>
  <si>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</si>
  <si>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</si>
  <si>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7122 Vale Cemetery upkeep(new)</t>
  </si>
  <si>
    <t xml:space="preserve">Property Staff</t>
  </si>
  <si>
    <t xml:space="preserve">5032 FICA Maintenance</t>
  </si>
  <si>
    <t xml:space="preserve">5033 Wages Maintenance</t>
  </si>
  <si>
    <t xml:space="preserve">5034 Medical Maintenance</t>
  </si>
  <si>
    <t xml:space="preserve">5035 Retirement Maintenance</t>
  </si>
  <si>
    <t xml:space="preserve">5036 Continuing Education</t>
  </si>
  <si>
    <t xml:space="preserve">Worship &amp; Arts</t>
  </si>
  <si>
    <t xml:space="preserve">6005 Communion</t>
  </si>
  <si>
    <t xml:space="preserve">6015 Honorarim (Pulpit Organ)</t>
  </si>
  <si>
    <t xml:space="preserve">6016 Organ Repair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</si>
  <si>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</si>
  <si>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</si>
  <si>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</si>
  <si>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</si>
  <si>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</si>
  <si>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</si>
  <si>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</si>
  <si>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</si>
  <si>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</si>
  <si>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</si>
  <si>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</si>
  <si>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</si>
  <si>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6076 Flowers expenses</t>
  </si>
  <si>
    <t xml:space="preserve">6077 Audio sound expenses</t>
  </si>
  <si>
    <t xml:space="preserve">6078 Audio Sound /Video Streeming expenses</t>
  </si>
  <si>
    <t xml:space="preserve">6079 Miscast Cabaret (new)</t>
  </si>
  <si>
    <t xml:space="preserve">6080 Art Series (new)</t>
  </si>
  <si>
    <t xml:space="preserve">6081 Art Display Expence (new)</t>
  </si>
  <si>
    <t xml:space="preserve">6082 Candle,Oil,Wreth Exp. (new)</t>
  </si>
  <si>
    <t xml:space="preserve">6083 Vesting for Sanctuary(new)</t>
  </si>
  <si>
    <t xml:space="preserve">6084 Chancel Guild expenses/Cook Trust</t>
  </si>
  <si>
    <t xml:space="preserve">Worship &amp; Arts Music Staff</t>
  </si>
  <si>
    <t xml:space="preserve">5042 FICA Music</t>
  </si>
  <si>
    <t xml:space="preserve">5043 Wages Music</t>
  </si>
  <si>
    <t xml:space="preserve">5044 Continuing Education</t>
  </si>
  <si>
    <t xml:space="preserve">Worship &amp; Arts Senior Pastor</t>
  </si>
  <si>
    <t xml:space="preserve">5011 Continuing Ed 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</si>
  <si>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</si>
  <si>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</si>
  <si>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</si>
  <si>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</si>
  <si>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</si>
  <si>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</si>
  <si>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</t>
  </si>
  <si>
    <t xml:space="preserve">Youth Ed</t>
  </si>
  <si>
    <t xml:space="preserve">6105 Audio/Visual Church School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</si>
  <si>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</si>
  <si>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</si>
  <si>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</si>
  <si>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</si>
  <si>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 (new)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</si>
  <si>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</si>
  <si>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</si>
  <si>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</si>
  <si>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</si>
  <si>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</si>
  <si>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</si>
  <si>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</si>
  <si>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</si>
  <si>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</si>
  <si>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Youth Ed Staff</t>
  </si>
  <si>
    <t xml:space="preserve">5072 FICA Youth</t>
  </si>
  <si>
    <t xml:space="preserve">5073 Wages Youth</t>
  </si>
  <si>
    <t xml:space="preserve">5075 Retirement Youth(new)</t>
  </si>
  <si>
    <t xml:space="preserve">5080 Continuing Education</t>
  </si>
  <si>
    <t xml:space="preserve">01 Classis Assessments</t>
  </si>
  <si>
    <t xml:space="preserve">02 Contributions</t>
  </si>
  <si>
    <t xml:space="preserve">4014 Easter Offering</t>
  </si>
  <si>
    <t xml:space="preserve">4015 Christmas Offering </t>
  </si>
  <si>
    <t xml:space="preserve">4016 Thanksgiving Offering</t>
  </si>
  <si>
    <t xml:space="preserve">4023 Online Giving Fee</t>
  </si>
  <si>
    <t xml:space="preserve">4024 Senior High Mission Trip income</t>
  </si>
  <si>
    <t xml:space="preserve">03 Investment Income</t>
  </si>
  <si>
    <t xml:space="preserve">2215 Checking Account</t>
  </si>
  <si>
    <t xml:space="preserve">04 Covenant Income</t>
  </si>
  <si>
    <t xml:space="preserve">05 Other Income</t>
  </si>
  <si>
    <t xml:space="preserve">4055 Holiday/Memorial Flowers income</t>
  </si>
  <si>
    <t xml:space="preserve">4057 Scholarship from Education Fund income</t>
  </si>
  <si>
    <t xml:space="preserve">07 Worship &amp; Arts</t>
  </si>
  <si>
    <t xml:space="preserve">6004 Audio Visual Contract Services (new)</t>
  </si>
  <si>
    <t xml:space="preserve">6076 Holiday/Memorial Flowers expenses</t>
  </si>
  <si>
    <t xml:space="preserve">6079 Miscast Cabaret </t>
  </si>
  <si>
    <t xml:space="preserve">6080 Art Series </t>
  </si>
  <si>
    <t xml:space="preserve">6081 Art Display Expence</t>
  </si>
  <si>
    <t xml:space="preserve">6082 Candle,Oil,Wreth Exp. </t>
  </si>
  <si>
    <t xml:space="preserve">6083 Vesting for Sanctuary</t>
  </si>
  <si>
    <t xml:space="preserve">08 Youth Ed</t>
  </si>
  <si>
    <t xml:space="preserve">6121 Camp Fowler scholarships </t>
  </si>
  <si>
    <t xml:space="preserve">6135 Senior High Mission Trip expense</t>
  </si>
  <si>
    <t xml:space="preserve">5074 Health Insurance Youth</t>
  </si>
  <si>
    <t xml:space="preserve">5075 Retirement Youth</t>
  </si>
  <si>
    <t xml:space="preserve">09 M&amp;B</t>
  </si>
  <si>
    <t xml:space="preserve">10 Covenant Fund</t>
  </si>
  <si>
    <t xml:space="preserve">6351 Approved Programs</t>
  </si>
  <si>
    <t xml:space="preserve">6360 Small Grants</t>
  </si>
  <si>
    <t xml:space="preserve">6368 Kitchen supplies</t>
  </si>
  <si>
    <t xml:space="preserve">6369 To Go Containers </t>
  </si>
  <si>
    <t xml:space="preserve">6375 Continuing Education</t>
  </si>
  <si>
    <t xml:space="preserve">11 Adult Ed</t>
  </si>
  <si>
    <t xml:space="preserve">6409 Scholarship from Education Fund expense</t>
  </si>
  <si>
    <t xml:space="preserve">12 Care &amp; Support</t>
  </si>
  <si>
    <t xml:space="preserve">13 Membership</t>
  </si>
  <si>
    <t xml:space="preserve">14 Creation Care</t>
  </si>
  <si>
    <t xml:space="preserve">15 Property</t>
  </si>
  <si>
    <t xml:space="preserve">7001 Custodian Fee/Other serv. Fee</t>
  </si>
  <si>
    <t xml:space="preserve">7122 Vale Cemetery upkeep</t>
  </si>
  <si>
    <t xml:space="preserve">5037 Housekeeping staff (new position)</t>
  </si>
  <si>
    <t xml:space="preserve">16 Finance</t>
  </si>
  <si>
    <t xml:space="preserve">8020 990 Preparation Expense </t>
  </si>
  <si>
    <t xml:space="preserve">17 Archives</t>
  </si>
  <si>
    <t xml:space="preserve">18 Administration</t>
  </si>
  <si>
    <t xml:space="preserve">9050 Staff Development</t>
  </si>
  <si>
    <t xml:space="preserve">19 Communications</t>
  </si>
  <si>
    <t>9111 Advertising</t>
  </si>
  <si>
    <t xml:space="preserve">9116 Supplies </t>
  </si>
  <si>
    <t xml:space="preserve">01 Classis Assessment</t>
  </si>
  <si>
    <t xml:space="preserve">4026 Beguest</t>
  </si>
  <si>
    <t xml:space="preserve">1234 Designated Fund Income</t>
  </si>
  <si>
    <t xml:space="preserve">Ammended 1/14/25 by Consistory</t>
  </si>
  <si>
    <t xml:space="preserve">5020 Pastoral Search Expense</t>
  </si>
  <si>
    <r>
      <t xml:space="preserve">6082 Candle,Oil,Wreth Exp.</t>
    </r>
    <r>
      <rPr>
        <sz val="11"/>
        <color indexed="2"/>
        <rFont val="Arial"/>
      </rPr>
      <t xml:space="preserve"> </t>
    </r>
  </si>
  <si>
    <r>
      <rPr>
        <sz val="11"/>
        <rFont val="Arial"/>
      </rPr>
      <t>6084</t>
    </r>
    <r>
      <rPr>
        <sz val="11"/>
        <color indexed="2"/>
        <rFont val="Arial"/>
      </rPr>
      <t xml:space="preserve"> </t>
    </r>
    <r>
      <rPr>
        <sz val="11"/>
        <rFont val="Arial"/>
      </rPr>
      <t xml:space="preserve">Chancel Guild expenses/Cook Trust</t>
    </r>
  </si>
  <si>
    <t xml:space="preserve">08 M&amp;B</t>
  </si>
  <si>
    <t xml:space="preserve">6306 Little Pantry</t>
  </si>
  <si>
    <t xml:space="preserve">09 Covenant Fund</t>
  </si>
  <si>
    <t xml:space="preserve">COVENANT FUND</t>
  </si>
  <si>
    <t xml:space="preserve">10 Adult Ed</t>
  </si>
  <si>
    <t xml:space="preserve">11 Care &amp; Support</t>
  </si>
  <si>
    <t xml:space="preserve">12 Membership</t>
  </si>
  <si>
    <t xml:space="preserve">6706 Art Night</t>
  </si>
  <si>
    <t xml:space="preserve">13 Creation Care</t>
  </si>
  <si>
    <t xml:space="preserve">14 Property</t>
  </si>
  <si>
    <t xml:space="preserve">15 Finance</t>
  </si>
  <si>
    <t xml:space="preserve">16 Archives</t>
  </si>
  <si>
    <t xml:space="preserve">17 Administration</t>
  </si>
  <si>
    <t xml:space="preserve">9001 Personnel Committee expense</t>
  </si>
  <si>
    <t xml:space="preserve">9002 Business ans auto expense</t>
  </si>
  <si>
    <t xml:space="preserve">18 Communications</t>
  </si>
  <si>
    <r>
      <t xml:space="preserve">9116 Supplies</t>
    </r>
    <r>
      <rPr>
        <sz val="11"/>
        <color indexed="2"/>
        <rFont val="Arial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</si>
</sst>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\$#,##0_);[Red](\$#,##0)"/>
    <numFmt numFmtId="165" formatCode="&quot;$&quot;#,##0"/>
    <numFmt numFmtId="166" formatCode="&quot;$&quot;#,##0.00"/>
  </numFmts>
  <fonts count="8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1.000000"/>
      <color theme="1"/>
      <name val="Arial"/>
    </font>
    <font>
      <sz val="11.000000"/>
      <name val="Arial"/>
    </font>
    <font>
      <sz val="10.000000"/>
      <color theme="1"/>
      <name val="Arial"/>
    </font>
    <font>
      <sz val="11.000000"/>
      <color indexed="2"/>
      <name val="Arial"/>
    </font>
    <font>
      <b/>
      <sz val="10.000000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  <fill>
      <patternFill patternType="solid">
        <fgColor indexed="65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05"/>
        <bgColor rgb="FFD9D9D9"/>
      </patternFill>
    </fill>
    <fill>
      <patternFill patternType="solid">
        <fgColor theme="0"/>
        <bgColor rgb="FFD9D9D9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47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top"/>
    </xf>
    <xf fontId="0" fillId="0" borderId="0" numFmtId="3" xfId="0" applyNumberFormat="1" applyAlignment="1">
      <alignment vertical="top"/>
    </xf>
    <xf fontId="0" fillId="0" borderId="0" numFmtId="0" xfId="0" applyAlignment="1">
      <alignment vertical="center"/>
    </xf>
    <xf fontId="2" fillId="2" borderId="0" numFmtId="49" xfId="0" applyNumberFormat="1" applyFont="1" applyFill="1" applyAlignment="1">
      <alignment horizontal="center" vertical="center" wrapText="1"/>
    </xf>
    <xf fontId="2" fillId="2" borderId="0" numFmtId="3" xfId="0" applyNumberFormat="1" applyFont="1" applyFill="1" applyAlignment="1">
      <alignment horizontal="center" vertical="center" wrapText="1"/>
    </xf>
    <xf fontId="0" fillId="0" borderId="0" numFmtId="0" xfId="0" applyAlignment="1">
      <alignment vertical="center"/>
    </xf>
    <xf fontId="0" fillId="3" borderId="0" numFmtId="0" xfId="0" applyFill="1" applyAlignment="1">
      <alignment vertical="top"/>
    </xf>
    <xf fontId="0" fillId="0" borderId="0" numFmtId="0" xfId="0">
      <protection hidden="0" locked="1"/>
    </xf>
    <xf fontId="0" fillId="0" borderId="0" numFmtId="164" xfId="0" applyNumberFormat="1"/>
    <xf fontId="0" fillId="0" borderId="0" numFmtId="165" xfId="0" applyNumberFormat="1" applyAlignment="1">
      <alignment vertical="top"/>
    </xf>
    <xf fontId="0" fillId="3" borderId="0" numFmtId="0" xfId="0" applyFill="1"/>
    <xf fontId="0" fillId="3" borderId="0" numFmtId="3" xfId="0" applyNumberFormat="1" applyFill="1"/>
    <xf fontId="3" fillId="4" borderId="0" numFmtId="0" xfId="0" applyFont="1" applyFill="1" applyAlignment="1">
      <alignment vertical="top"/>
    </xf>
    <xf fontId="3" fillId="4" borderId="0" numFmtId="166" xfId="0" applyNumberFormat="1" applyFont="1" applyFill="1" applyAlignment="1">
      <alignment vertical="top"/>
    </xf>
    <xf fontId="3" fillId="0" borderId="0" numFmtId="166" xfId="0" applyNumberFormat="1" applyFont="1" applyAlignment="1">
      <alignment horizontal="right" vertical="top"/>
    </xf>
    <xf fontId="3" fillId="0" borderId="0" numFmtId="166" xfId="0" applyNumberFormat="1" applyFont="1" applyAlignment="1">
      <alignment vertical="top"/>
    </xf>
    <xf fontId="3" fillId="0" borderId="0" numFmtId="0" xfId="0" applyFont="1" applyAlignment="1">
      <alignment vertical="top"/>
    </xf>
    <xf fontId="4" fillId="4" borderId="0" numFmtId="0" xfId="0" applyFont="1" applyFill="1" applyAlignment="1">
      <alignment vertical="top"/>
    </xf>
    <xf fontId="4" fillId="0" borderId="0" numFmtId="166" xfId="0" applyNumberFormat="1" applyFont="1" applyAlignment="1">
      <alignment vertical="top"/>
    </xf>
    <xf fontId="3" fillId="5" borderId="0" numFmtId="166" xfId="0" applyNumberFormat="1" applyFont="1" applyFill="1" applyAlignment="1">
      <alignment vertical="top"/>
    </xf>
    <xf fontId="4" fillId="0" borderId="0" numFmtId="0" xfId="0" applyFont="1" applyAlignment="1">
      <alignment vertical="top"/>
    </xf>
    <xf fontId="4" fillId="6" borderId="0" numFmtId="166" xfId="0" applyNumberFormat="1" applyFont="1" applyFill="1" applyAlignment="1">
      <alignment vertical="top"/>
    </xf>
    <xf fontId="3" fillId="7" borderId="0" numFmtId="0" xfId="0" applyFont="1" applyFill="1" applyAlignment="1">
      <alignment vertical="top"/>
    </xf>
    <xf fontId="3" fillId="6" borderId="0" numFmtId="166" xfId="0" applyNumberFormat="1" applyFont="1" applyFill="1"/>
    <xf fontId="4" fillId="8" borderId="0" numFmtId="166" xfId="0" applyNumberFormat="1" applyFont="1" applyFill="1" applyAlignment="1">
      <alignment vertical="top"/>
    </xf>
    <xf fontId="5" fillId="0" borderId="0" numFmtId="166" xfId="0" applyNumberFormat="1" applyFont="1" applyAlignment="1">
      <alignment vertical="top"/>
    </xf>
    <xf fontId="5" fillId="8" borderId="0" numFmtId="166" xfId="0" applyNumberFormat="1" applyFont="1" applyFill="1" applyAlignment="1">
      <alignment vertical="top"/>
    </xf>
    <xf fontId="5" fillId="6" borderId="0" numFmtId="166" xfId="0" applyNumberFormat="1" applyFont="1" applyFill="1" applyAlignment="1">
      <alignment vertical="top"/>
    </xf>
    <xf fontId="5" fillId="4" borderId="0" numFmtId="166" xfId="0" applyNumberFormat="1" applyFont="1" applyFill="1" applyAlignment="1">
      <alignment vertical="top"/>
    </xf>
    <xf fontId="1" fillId="4" borderId="0" numFmtId="166" xfId="0" applyNumberFormat="1" applyFont="1" applyFill="1" applyAlignment="1">
      <alignment vertical="top"/>
    </xf>
    <xf fontId="1" fillId="0" borderId="0" numFmtId="166" xfId="0" applyNumberFormat="1" applyFont="1" applyAlignment="1">
      <alignment horizontal="right" vertical="top"/>
    </xf>
    <xf fontId="3" fillId="4" borderId="0" numFmtId="0" xfId="0" applyFont="1" applyFill="1" applyAlignment="1">
      <alignment horizontal="left" vertical="top"/>
    </xf>
    <xf fontId="1" fillId="4" borderId="0" numFmtId="166" xfId="0" applyNumberFormat="1" applyFont="1" applyFill="1" applyAlignment="1">
      <alignment horizontal="right" vertical="top"/>
    </xf>
    <xf fontId="6" fillId="4" borderId="0" numFmtId="0" xfId="0" applyFont="1" applyFill="1" applyAlignment="1">
      <alignment vertical="top"/>
    </xf>
    <xf fontId="5" fillId="0" borderId="0" numFmtId="166" xfId="0" applyNumberFormat="1" applyFont="1" applyAlignment="1">
      <alignment horizontal="right" vertical="top"/>
    </xf>
    <xf fontId="1" fillId="8" borderId="0" numFmtId="166" xfId="0" applyNumberFormat="1" applyFont="1" applyFill="1" applyAlignment="1">
      <alignment vertical="top"/>
    </xf>
    <xf fontId="2" fillId="9" borderId="0" numFmtId="0" xfId="0" applyFont="1" applyFill="1" applyAlignment="1">
      <alignment vertical="top"/>
    </xf>
    <xf fontId="7" fillId="0" borderId="0" numFmtId="166" xfId="0" applyNumberFormat="1" applyFont="1" applyAlignment="1">
      <alignment vertical="top"/>
    </xf>
    <xf fontId="3" fillId="10" borderId="0" numFmtId="0" xfId="0" applyFont="1" applyFill="1" applyAlignment="1">
      <alignment vertical="top"/>
    </xf>
    <xf fontId="5" fillId="10" borderId="0" numFmtId="166" xfId="0" applyNumberFormat="1" applyFont="1" applyFill="1" applyAlignment="1">
      <alignment vertical="top"/>
    </xf>
    <xf fontId="1" fillId="0" borderId="0" numFmtId="166" xfId="0" applyNumberFormat="1" applyFont="1" applyAlignment="1">
      <alignment vertical="top"/>
    </xf>
    <xf fontId="5" fillId="4" borderId="0" numFmtId="0" xfId="0" applyFont="1" applyFill="1" applyAlignment="1">
      <alignment vertical="top"/>
    </xf>
    <xf fontId="2" fillId="4" borderId="0" numFmtId="0" xfId="0" applyFont="1" applyFill="1" applyAlignment="1">
      <alignment vertical="top"/>
    </xf>
    <xf fontId="2" fillId="4" borderId="0" numFmtId="166" xfId="0" applyNumberFormat="1" applyFont="1" applyFill="1" applyAlignment="1">
      <alignment vertical="top"/>
    </xf>
    <xf fontId="5" fillId="0" borderId="0" numFmtId="0" xfId="0" applyFont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85" workbookViewId="0">
      <pane ySplit="1" topLeftCell="A2" activePane="bottomLeft" state="frozen"/>
      <selection activeCell="G18" activeCellId="0" sqref="G18"/>
    </sheetView>
  </sheetViews>
  <sheetFormatPr defaultColWidth="9.140625" defaultRowHeight="12.75"/>
  <cols>
    <col min="1" max="1" style="2" width="9.140625"/>
    <col bestFit="1" customWidth="1" min="2" max="2" style="2" width="17.28515625"/>
    <col bestFit="1" customWidth="1" min="3" max="3" style="2" width="29.140625"/>
    <col bestFit="1" customWidth="1" min="4" max="4" style="2" width="46.7109375"/>
    <col customWidth="1" min="5" max="6" style="3" width="24"/>
    <col bestFit="1" min="7" max="7" style="2" width="9.421875"/>
    <col min="8" max="16384" style="1" width="9.140625"/>
  </cols>
  <sheetData>
    <row r="1" s="4" customFormat="1" ht="14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7">
        <v>0</v>
      </c>
      <c r="H1" s="4"/>
    </row>
    <row r="2">
      <c r="A2" s="8">
        <v>2023</v>
      </c>
      <c r="B2" s="9" t="s">
        <v>6</v>
      </c>
      <c r="C2" s="9" t="s">
        <v>7</v>
      </c>
      <c r="D2" s="9" t="s">
        <v>8</v>
      </c>
      <c r="E2" s="10">
        <v>14000</v>
      </c>
      <c r="F2" s="10"/>
      <c r="G2" s="8">
        <f>IF(C2=C1,G1,G1+1)</f>
        <v>1</v>
      </c>
      <c r="H2" s="1"/>
    </row>
    <row r="3">
      <c r="A3" s="8">
        <v>2023</v>
      </c>
      <c r="B3" s="9" t="s">
        <v>6</v>
      </c>
      <c r="C3" s="9" t="s">
        <v>7</v>
      </c>
      <c r="D3" s="9" t="s">
        <v>9</v>
      </c>
      <c r="E3" s="10">
        <v>335500</v>
      </c>
      <c r="F3" s="10"/>
      <c r="G3" s="8">
        <f>IF(C3=C2,G2,G2+1)</f>
        <v>1</v>
      </c>
      <c r="H3" s="1"/>
    </row>
    <row r="4">
      <c r="A4" s="8">
        <v>2023</v>
      </c>
      <c r="B4" s="9" t="s">
        <v>6</v>
      </c>
      <c r="C4" s="9" t="s">
        <v>7</v>
      </c>
      <c r="D4" s="9" t="s">
        <v>10</v>
      </c>
      <c r="E4" s="10">
        <v>10000</v>
      </c>
      <c r="F4" s="10"/>
      <c r="G4" s="8">
        <f>IF(C4=C3,G3,G3+1)</f>
        <v>1</v>
      </c>
      <c r="H4" s="1"/>
    </row>
    <row r="5">
      <c r="A5" s="8">
        <v>2023</v>
      </c>
      <c r="B5" s="9" t="s">
        <v>6</v>
      </c>
      <c r="C5" s="9" t="s">
        <v>7</v>
      </c>
      <c r="D5" s="9" t="s">
        <v>11</v>
      </c>
      <c r="E5" s="10">
        <v>7000</v>
      </c>
      <c r="F5" s="10"/>
      <c r="G5" s="8">
        <f>IF(C5=C4,G4,G4+1)</f>
        <v>1</v>
      </c>
      <c r="H5" s="1"/>
    </row>
    <row r="6">
      <c r="A6" s="8">
        <v>2023</v>
      </c>
      <c r="B6" s="9" t="s">
        <v>6</v>
      </c>
      <c r="C6" s="9" t="s">
        <v>7</v>
      </c>
      <c r="D6" s="9" t="s">
        <v>12</v>
      </c>
      <c r="E6" s="10">
        <v>10000</v>
      </c>
      <c r="F6" s="10"/>
      <c r="G6" s="8">
        <f>IF(C6=C5,G5,G5+1)</f>
        <v>1</v>
      </c>
      <c r="H6" s="1"/>
    </row>
    <row r="7">
      <c r="A7" s="8">
        <v>2023</v>
      </c>
      <c r="B7" s="9" t="s">
        <v>6</v>
      </c>
      <c r="C7" s="9" t="s">
        <v>7</v>
      </c>
      <c r="D7" s="9" t="s">
        <v>13</v>
      </c>
      <c r="E7" s="10">
        <v>32500</v>
      </c>
      <c r="F7" s="10"/>
      <c r="G7" s="8">
        <f>IF(C7=C6,G6,G6+1)</f>
        <v>1</v>
      </c>
      <c r="H7" s="1"/>
    </row>
    <row r="8">
      <c r="A8" s="8">
        <v>2023</v>
      </c>
      <c r="B8" s="9" t="s">
        <v>6</v>
      </c>
      <c r="C8" s="9" t="s">
        <v>7</v>
      </c>
      <c r="D8" s="9" t="s">
        <v>14</v>
      </c>
      <c r="E8" s="10">
        <v>200</v>
      </c>
      <c r="F8" s="10"/>
      <c r="G8" s="8">
        <f>IF(C8=C7,G7,G7+1)</f>
        <v>1</v>
      </c>
      <c r="H8" s="1"/>
    </row>
    <row r="9">
      <c r="A9" s="8">
        <v>2023</v>
      </c>
      <c r="B9" s="9" t="s">
        <v>6</v>
      </c>
      <c r="C9" s="9" t="s">
        <v>7</v>
      </c>
      <c r="D9" s="9" t="s">
        <v>15</v>
      </c>
      <c r="E9" s="10">
        <v>200</v>
      </c>
      <c r="F9" s="10"/>
      <c r="G9" s="8">
        <f>IF(C9=C8,G8,G8+1)</f>
        <v>1</v>
      </c>
      <c r="H9" s="1"/>
    </row>
    <row r="10">
      <c r="A10" s="8">
        <v>2023</v>
      </c>
      <c r="B10" s="9" t="s">
        <v>6</v>
      </c>
      <c r="C10" s="9" t="s">
        <v>16</v>
      </c>
      <c r="D10" s="9" t="s">
        <v>17</v>
      </c>
      <c r="E10" s="10">
        <v>8000</v>
      </c>
      <c r="F10" s="10"/>
      <c r="G10" s="8">
        <f>IF(C10=C9,G9,G9+1)</f>
        <v>2</v>
      </c>
      <c r="H10" s="1"/>
    </row>
    <row r="11">
      <c r="A11" s="8">
        <v>2023</v>
      </c>
      <c r="B11" s="9" t="s">
        <v>6</v>
      </c>
      <c r="C11" s="9" t="s">
        <v>16</v>
      </c>
      <c r="D11" s="9" t="s">
        <v>18</v>
      </c>
      <c r="E11" s="10">
        <v>0</v>
      </c>
      <c r="F11" s="10"/>
      <c r="G11" s="8">
        <f>IF(C11=C10,G10,G10+1)</f>
        <v>2</v>
      </c>
      <c r="H11" s="1"/>
    </row>
    <row r="12">
      <c r="A12" s="8">
        <v>2023</v>
      </c>
      <c r="B12" s="9" t="s">
        <v>6</v>
      </c>
      <c r="C12" s="9" t="s">
        <v>16</v>
      </c>
      <c r="D12" s="9" t="s">
        <v>19</v>
      </c>
      <c r="E12" s="10">
        <v>66000</v>
      </c>
      <c r="F12" s="10"/>
      <c r="G12" s="8">
        <f>IF(C12=C11,G11,G11+1)</f>
        <v>2</v>
      </c>
      <c r="H12" s="1"/>
    </row>
    <row r="13">
      <c r="A13" s="8">
        <v>2023</v>
      </c>
      <c r="B13" s="9" t="s">
        <v>6</v>
      </c>
      <c r="C13" s="9" t="s">
        <v>16</v>
      </c>
      <c r="D13" s="9" t="s">
        <v>20</v>
      </c>
      <c r="E13" s="10">
        <v>62520</v>
      </c>
      <c r="F13" s="10"/>
      <c r="G13" s="8">
        <f>IF(C13=C12,G12,G12+1)</f>
        <v>2</v>
      </c>
      <c r="H13" s="1"/>
    </row>
    <row r="14">
      <c r="A14" s="8">
        <v>2023</v>
      </c>
      <c r="B14" s="9" t="s">
        <v>6</v>
      </c>
      <c r="C14" s="9" t="s">
        <v>16</v>
      </c>
      <c r="D14" s="9" t="s">
        <v>21</v>
      </c>
      <c r="E14" s="10">
        <v>100000</v>
      </c>
      <c r="F14" s="10"/>
      <c r="G14" s="8">
        <f>IF(C14=C13,G13,G13+1)</f>
        <v>2</v>
      </c>
      <c r="H14" s="1"/>
    </row>
    <row r="15">
      <c r="A15" s="8">
        <v>2023</v>
      </c>
      <c r="B15" s="9" t="s">
        <v>6</v>
      </c>
      <c r="C15" s="9" t="s">
        <v>22</v>
      </c>
      <c r="D15" s="9" t="s">
        <v>23</v>
      </c>
      <c r="E15" s="10">
        <v>175700</v>
      </c>
      <c r="F15" s="10"/>
      <c r="G15" s="8">
        <f>IF(C15=C14,G14,G14+1)</f>
        <v>3</v>
      </c>
      <c r="H15" s="1"/>
    </row>
    <row r="16">
      <c r="A16" s="8">
        <v>2023</v>
      </c>
      <c r="B16" s="9" t="s">
        <v>6</v>
      </c>
      <c r="C16" s="9" t="s">
        <v>22</v>
      </c>
      <c r="D16" s="9" t="s">
        <v>24</v>
      </c>
      <c r="E16" s="10">
        <v>188500</v>
      </c>
      <c r="F16" s="10"/>
      <c r="G16" s="8">
        <f>IF(C16=C15,G15,G15+1)</f>
        <v>3</v>
      </c>
      <c r="H16" s="1"/>
    </row>
    <row r="17">
      <c r="A17" s="8">
        <v>2023</v>
      </c>
      <c r="B17" s="9" t="s">
        <v>6</v>
      </c>
      <c r="C17" s="9" t="s">
        <v>22</v>
      </c>
      <c r="D17" s="9" t="s">
        <v>25</v>
      </c>
      <c r="E17" s="10">
        <v>140000</v>
      </c>
      <c r="F17" s="10"/>
      <c r="G17" s="8">
        <f>IF(C17=C16,G16,G16+1)</f>
        <v>3</v>
      </c>
      <c r="H17" s="1"/>
    </row>
    <row r="18">
      <c r="A18" s="8">
        <v>2023</v>
      </c>
      <c r="B18" s="9" t="s">
        <v>6</v>
      </c>
      <c r="C18" s="9" t="s">
        <v>22</v>
      </c>
      <c r="D18" s="9" t="s">
        <v>26</v>
      </c>
      <c r="E18" s="10">
        <v>16922</v>
      </c>
      <c r="F18" s="10"/>
      <c r="G18" s="8">
        <f>IF(C18=C17,G17,G17+1)</f>
        <v>3</v>
      </c>
      <c r="H18" s="1"/>
    </row>
    <row r="19">
      <c r="A19" s="8">
        <v>2023</v>
      </c>
      <c r="B19" s="9" t="s">
        <v>6</v>
      </c>
      <c r="C19" s="9" t="s">
        <v>22</v>
      </c>
      <c r="D19" s="9" t="s">
        <v>27</v>
      </c>
      <c r="E19" s="10">
        <v>34600</v>
      </c>
      <c r="F19" s="10"/>
      <c r="G19" s="8">
        <f>IF(C19=C18,G18,G18+1)</f>
        <v>3</v>
      </c>
      <c r="H19" s="1"/>
    </row>
    <row r="20">
      <c r="A20" s="8">
        <v>2023</v>
      </c>
      <c r="B20" s="9" t="s">
        <v>6</v>
      </c>
      <c r="C20" s="9" t="s">
        <v>22</v>
      </c>
      <c r="D20" s="9" t="s">
        <v>28</v>
      </c>
      <c r="E20" s="10">
        <v>22350</v>
      </c>
      <c r="F20" s="10"/>
      <c r="G20" s="8">
        <f>IF(C20=C19,G19,G19+1)</f>
        <v>3</v>
      </c>
      <c r="H20" s="1"/>
    </row>
    <row r="21">
      <c r="A21" s="8">
        <v>2023</v>
      </c>
      <c r="B21" s="9" t="s">
        <v>6</v>
      </c>
      <c r="C21" s="9" t="s">
        <v>29</v>
      </c>
      <c r="D21" s="9" t="s">
        <v>30</v>
      </c>
      <c r="E21" s="10">
        <v>10000</v>
      </c>
      <c r="F21" s="10"/>
      <c r="G21" s="8">
        <f>IF(C21=C20,G20,G20+1)</f>
        <v>4</v>
      </c>
      <c r="H21" s="1"/>
    </row>
    <row r="22">
      <c r="A22" s="8">
        <v>2023</v>
      </c>
      <c r="B22" s="9" t="s">
        <v>6</v>
      </c>
      <c r="C22" s="9" t="s">
        <v>29</v>
      </c>
      <c r="D22" s="9" t="s">
        <v>31</v>
      </c>
      <c r="E22" s="10">
        <v>3000</v>
      </c>
      <c r="F22" s="10"/>
      <c r="G22" s="8">
        <f>IF(C22=C21,G21,G21+1)</f>
        <v>4</v>
      </c>
      <c r="H22" s="1"/>
    </row>
    <row r="23">
      <c r="A23" s="8">
        <v>2023</v>
      </c>
      <c r="B23" s="9" t="s">
        <v>6</v>
      </c>
      <c r="C23" s="9" t="s">
        <v>29</v>
      </c>
      <c r="D23" s="9" t="s">
        <v>32</v>
      </c>
      <c r="E23" s="10">
        <v>13800</v>
      </c>
      <c r="F23" s="10"/>
      <c r="G23" s="8">
        <f>IF(C23=C22,G22,G22+1)</f>
        <v>4</v>
      </c>
      <c r="H23" s="1"/>
    </row>
    <row r="24">
      <c r="A24" s="8">
        <v>2023</v>
      </c>
      <c r="B24" s="9" t="s">
        <v>6</v>
      </c>
      <c r="C24" s="9" t="s">
        <v>29</v>
      </c>
      <c r="D24" s="9" t="s">
        <v>33</v>
      </c>
      <c r="E24" s="10">
        <v>1100</v>
      </c>
      <c r="F24" s="10"/>
      <c r="G24" s="8">
        <f>IF(C24=C23,G23,G23+1)</f>
        <v>4</v>
      </c>
      <c r="H24" s="1"/>
    </row>
    <row r="25">
      <c r="A25" s="8">
        <v>2023</v>
      </c>
      <c r="B25" s="9" t="s">
        <v>6</v>
      </c>
      <c r="C25" s="9" t="s">
        <v>29</v>
      </c>
      <c r="D25" s="9" t="s">
        <v>34</v>
      </c>
      <c r="E25" s="10">
        <v>910</v>
      </c>
      <c r="F25" s="10"/>
      <c r="G25" s="8">
        <f>IF(C25=C24,G24,G24+1)</f>
        <v>4</v>
      </c>
      <c r="H25" s="1"/>
    </row>
    <row r="26">
      <c r="A26" s="8">
        <v>2023</v>
      </c>
      <c r="B26" s="9" t="s">
        <v>6</v>
      </c>
      <c r="C26" s="9" t="s">
        <v>29</v>
      </c>
      <c r="D26" s="9" t="s">
        <v>35</v>
      </c>
      <c r="E26" s="10">
        <v>0</v>
      </c>
      <c r="F26" s="10"/>
      <c r="G26" s="8">
        <f>IF(C26=C25,G25,G25+1)</f>
        <v>4</v>
      </c>
      <c r="H26" s="1"/>
    </row>
    <row r="27">
      <c r="A27" s="8">
        <v>2023</v>
      </c>
      <c r="B27" s="9" t="s">
        <v>36</v>
      </c>
      <c r="C27" s="9" t="s">
        <v>37</v>
      </c>
      <c r="D27" s="9" t="s">
        <v>38</v>
      </c>
      <c r="E27" s="10">
        <v>-3500</v>
      </c>
      <c r="F27" s="10"/>
      <c r="G27" s="8">
        <f>IF(C27=C26,G26,G26+1)</f>
        <v>5</v>
      </c>
      <c r="H27" s="1"/>
    </row>
    <row r="28">
      <c r="A28" s="8">
        <v>2023</v>
      </c>
      <c r="B28" s="9" t="s">
        <v>36</v>
      </c>
      <c r="C28" s="9" t="s">
        <v>37</v>
      </c>
      <c r="D28" s="9" t="s">
        <v>39</v>
      </c>
      <c r="E28" s="10">
        <v>-27000</v>
      </c>
      <c r="F28" s="10"/>
      <c r="G28" s="8">
        <f>IF(C28=C27,G27,G27+1)</f>
        <v>5</v>
      </c>
      <c r="H28" s="1"/>
    </row>
    <row r="29">
      <c r="A29" s="8">
        <v>2023</v>
      </c>
      <c r="B29" s="9" t="s">
        <v>36</v>
      </c>
      <c r="C29" s="9" t="s">
        <v>37</v>
      </c>
      <c r="D29" s="9" t="s">
        <v>40</v>
      </c>
      <c r="E29" s="10">
        <v>-500</v>
      </c>
      <c r="F29" s="10"/>
      <c r="G29" s="8">
        <f>IF(C29=C28,G28,G28+1)</f>
        <v>5</v>
      </c>
      <c r="H29" s="1"/>
    </row>
    <row r="30">
      <c r="A30" s="8">
        <v>2023</v>
      </c>
      <c r="B30" s="9" t="s">
        <v>36</v>
      </c>
      <c r="C30" s="9" t="s">
        <v>37</v>
      </c>
      <c r="D30" s="9" t="s">
        <v>41</v>
      </c>
      <c r="E30" s="10">
        <v>-9000</v>
      </c>
      <c r="F30" s="10"/>
      <c r="G30" s="8">
        <f>IF(C30=C29,G29,G29+1)</f>
        <v>5</v>
      </c>
    </row>
    <row r="31">
      <c r="A31" s="8">
        <v>2023</v>
      </c>
      <c r="B31" s="9" t="s">
        <v>36</v>
      </c>
      <c r="C31" s="9" t="s">
        <v>37</v>
      </c>
      <c r="D31" s="9" t="s">
        <v>42</v>
      </c>
      <c r="E31" s="10">
        <v>-4000</v>
      </c>
      <c r="F31" s="10"/>
      <c r="G31" s="8">
        <f>IF(C31=C30,G30,G30+1)</f>
        <v>5</v>
      </c>
    </row>
    <row r="32">
      <c r="A32" s="8">
        <v>2023</v>
      </c>
      <c r="B32" s="9" t="s">
        <v>36</v>
      </c>
      <c r="C32" s="9" t="s">
        <v>37</v>
      </c>
      <c r="D32" s="9" t="s">
        <v>43</v>
      </c>
      <c r="E32" s="10">
        <v>-3000</v>
      </c>
      <c r="F32" s="10"/>
      <c r="G32" s="8">
        <f>IF(C32=C31,G31,G31+1)</f>
        <v>5</v>
      </c>
    </row>
    <row r="33">
      <c r="A33" s="8">
        <v>2023</v>
      </c>
      <c r="B33" s="9" t="s">
        <v>36</v>
      </c>
      <c r="C33" s="9" t="s">
        <v>37</v>
      </c>
      <c r="D33" s="9" t="s">
        <v>44</v>
      </c>
      <c r="E33" s="10">
        <v>-1500</v>
      </c>
      <c r="F33" s="10"/>
      <c r="G33" s="8">
        <f>IF(C33=C32,G32,G32+1)</f>
        <v>5</v>
      </c>
    </row>
    <row r="34">
      <c r="A34" s="8">
        <v>2023</v>
      </c>
      <c r="B34" s="9" t="s">
        <v>36</v>
      </c>
      <c r="C34" s="9" t="s">
        <v>37</v>
      </c>
      <c r="D34" s="9" t="s">
        <v>45</v>
      </c>
      <c r="E34" s="10">
        <v>-1000</v>
      </c>
      <c r="F34" s="10"/>
      <c r="G34" s="8">
        <f>IF(C34=C33,G33,G33+1)</f>
        <v>5</v>
      </c>
    </row>
    <row r="35">
      <c r="A35" s="8">
        <v>2023</v>
      </c>
      <c r="B35" s="9" t="s">
        <v>36</v>
      </c>
      <c r="C35" s="9" t="s">
        <v>37</v>
      </c>
      <c r="D35" s="9" t="s">
        <v>46</v>
      </c>
      <c r="E35" s="10">
        <v>-2800</v>
      </c>
      <c r="F35" s="10"/>
      <c r="G35" s="8">
        <f>IF(C35=C34,G34,G34+1)</f>
        <v>5</v>
      </c>
    </row>
    <row r="36">
      <c r="A36" s="8">
        <v>2023</v>
      </c>
      <c r="B36" s="9" t="s">
        <v>36</v>
      </c>
      <c r="C36" s="9" t="s">
        <v>37</v>
      </c>
      <c r="D36" s="9" t="s">
        <v>47</v>
      </c>
      <c r="E36" s="10">
        <v>-1600</v>
      </c>
      <c r="F36" s="10"/>
      <c r="G36" s="8">
        <f>IF(C36=C35,G35,G35+1)</f>
        <v>5</v>
      </c>
    </row>
    <row r="37">
      <c r="A37" s="8">
        <v>2023</v>
      </c>
      <c r="B37" s="9" t="s">
        <v>36</v>
      </c>
      <c r="C37" s="9" t="s">
        <v>37</v>
      </c>
      <c r="D37" s="9" t="s">
        <v>48</v>
      </c>
      <c r="E37" s="10">
        <v>-500</v>
      </c>
      <c r="F37" s="10"/>
      <c r="G37" s="8">
        <f>IF(C37=C36,G36,G36+1)</f>
        <v>5</v>
      </c>
    </row>
    <row r="38">
      <c r="A38" s="8">
        <v>2023</v>
      </c>
      <c r="B38" s="9" t="s">
        <v>36</v>
      </c>
      <c r="C38" s="9" t="s">
        <v>37</v>
      </c>
      <c r="D38" s="9" t="s">
        <v>49</v>
      </c>
      <c r="E38" s="10">
        <v>-4200</v>
      </c>
      <c r="F38" s="10"/>
      <c r="G38" s="8">
        <f>IF(C38=C37,G37,G37+1)</f>
        <v>5</v>
      </c>
    </row>
    <row r="39">
      <c r="A39" s="8">
        <v>2023</v>
      </c>
      <c r="B39" s="9" t="s">
        <v>36</v>
      </c>
      <c r="C39" s="9" t="s">
        <v>37</v>
      </c>
      <c r="D39" s="9" t="s">
        <v>50</v>
      </c>
      <c r="E39" s="10">
        <v>-3000</v>
      </c>
      <c r="F39" s="10"/>
      <c r="G39" s="8">
        <f>IF(C39=C38,G38,G38+1)</f>
        <v>5</v>
      </c>
    </row>
    <row r="40">
      <c r="A40" s="8">
        <v>2023</v>
      </c>
      <c r="B40" s="9" t="s">
        <v>36</v>
      </c>
      <c r="C40" s="9" t="s">
        <v>51</v>
      </c>
      <c r="D40" s="9" t="s">
        <v>52</v>
      </c>
      <c r="E40" s="10">
        <v>-5020</v>
      </c>
      <c r="F40" s="10"/>
      <c r="G40" s="8">
        <f>IF(C40=C39,G39,G39+1)</f>
        <v>6</v>
      </c>
    </row>
    <row r="41">
      <c r="A41" s="8">
        <v>2023</v>
      </c>
      <c r="B41" s="9" t="s">
        <v>36</v>
      </c>
      <c r="C41" s="9" t="s">
        <v>51</v>
      </c>
      <c r="D41" s="9" t="s">
        <v>53</v>
      </c>
      <c r="E41" s="10">
        <v>-65600</v>
      </c>
      <c r="F41" s="10"/>
      <c r="G41" s="8">
        <f>IF(C41=C40,G40,G40+1)</f>
        <v>6</v>
      </c>
    </row>
    <row r="42">
      <c r="A42" s="8">
        <v>2023</v>
      </c>
      <c r="B42" s="9" t="s">
        <v>36</v>
      </c>
      <c r="C42" s="9" t="s">
        <v>51</v>
      </c>
      <c r="D42" s="9" t="s">
        <v>54</v>
      </c>
      <c r="E42" s="10">
        <v>-2080</v>
      </c>
      <c r="F42" s="10"/>
      <c r="G42" s="8">
        <f>IF(C42=C41,G41,G41+1)</f>
        <v>6</v>
      </c>
    </row>
    <row r="43">
      <c r="A43" s="8">
        <v>2023</v>
      </c>
      <c r="B43" s="9" t="s">
        <v>36</v>
      </c>
      <c r="C43" s="9" t="s">
        <v>51</v>
      </c>
      <c r="D43" s="9" t="s">
        <v>55</v>
      </c>
      <c r="E43" s="10">
        <v>-11000</v>
      </c>
      <c r="F43" s="10"/>
      <c r="G43" s="8">
        <f>IF(C43=C42,G42,G42+1)</f>
        <v>6</v>
      </c>
    </row>
    <row r="44">
      <c r="A44" s="8">
        <v>2023</v>
      </c>
      <c r="B44" s="9" t="s">
        <v>36</v>
      </c>
      <c r="C44" s="9" t="s">
        <v>51</v>
      </c>
      <c r="D44" s="9" t="s">
        <v>56</v>
      </c>
      <c r="E44" s="10">
        <v>-1000</v>
      </c>
      <c r="F44" s="10"/>
      <c r="G44" s="8">
        <f>IF(C44=C43,G43,G43+1)</f>
        <v>6</v>
      </c>
    </row>
    <row r="45">
      <c r="A45" s="8">
        <v>2023</v>
      </c>
      <c r="B45" s="9" t="s">
        <v>36</v>
      </c>
      <c r="C45" s="9" t="s">
        <v>57</v>
      </c>
      <c r="D45" s="9" t="s">
        <v>58</v>
      </c>
      <c r="E45" s="10">
        <v>-225</v>
      </c>
      <c r="F45" s="10"/>
      <c r="G45" s="8">
        <f>IF(C45=C44,G44,G44+1)</f>
        <v>7</v>
      </c>
    </row>
    <row r="46">
      <c r="A46" s="8">
        <v>2023</v>
      </c>
      <c r="B46" s="9" t="s">
        <v>36</v>
      </c>
      <c r="C46" s="9" t="s">
        <v>57</v>
      </c>
      <c r="D46" s="9" t="s">
        <v>59</v>
      </c>
      <c r="E46" s="10">
        <v>-180</v>
      </c>
      <c r="F46" s="10"/>
      <c r="G46" s="8">
        <f>IF(C46=C45,G45,G45+1)</f>
        <v>7</v>
      </c>
    </row>
    <row r="47">
      <c r="A47" s="8">
        <v>2023</v>
      </c>
      <c r="B47" s="9" t="s">
        <v>36</v>
      </c>
      <c r="C47" s="9" t="s">
        <v>57</v>
      </c>
      <c r="D47" s="9" t="s">
        <v>60</v>
      </c>
      <c r="E47" s="10">
        <v>-450</v>
      </c>
      <c r="F47" s="10"/>
      <c r="G47" s="8">
        <f>IF(C47=C46,G46,G46+1)</f>
        <v>7</v>
      </c>
    </row>
    <row r="48">
      <c r="A48" s="8">
        <v>2023</v>
      </c>
      <c r="B48" s="9" t="s">
        <v>36</v>
      </c>
      <c r="C48" s="9" t="s">
        <v>57</v>
      </c>
      <c r="D48" s="9" t="s">
        <v>61</v>
      </c>
      <c r="E48" s="10">
        <v>-180</v>
      </c>
      <c r="F48" s="10"/>
      <c r="G48" s="8">
        <f>IF(C48=C47,G47,G47+1)</f>
        <v>7</v>
      </c>
    </row>
    <row r="49">
      <c r="A49" s="8">
        <v>2023</v>
      </c>
      <c r="B49" s="9" t="s">
        <v>36</v>
      </c>
      <c r="C49" s="9" t="s">
        <v>57</v>
      </c>
      <c r="D49" s="9" t="s">
        <v>62</v>
      </c>
      <c r="E49" s="10">
        <v>-900</v>
      </c>
      <c r="F49" s="10"/>
      <c r="G49" s="8">
        <f>IF(C49=C48,G48,G48+1)</f>
        <v>7</v>
      </c>
    </row>
    <row r="50">
      <c r="A50" s="8">
        <v>2023</v>
      </c>
      <c r="B50" s="9" t="s">
        <v>36</v>
      </c>
      <c r="C50" s="9" t="s">
        <v>57</v>
      </c>
      <c r="D50" s="9" t="s">
        <v>63</v>
      </c>
      <c r="E50" s="10">
        <v>-180</v>
      </c>
      <c r="F50" s="10"/>
      <c r="G50" s="8">
        <f>IF(C50=C49,G49,G49+1)</f>
        <v>7</v>
      </c>
    </row>
    <row r="51">
      <c r="A51" s="8">
        <v>2023</v>
      </c>
      <c r="B51" s="9" t="s">
        <v>36</v>
      </c>
      <c r="C51" s="9" t="s">
        <v>64</v>
      </c>
      <c r="D51" s="9" t="s">
        <v>65</v>
      </c>
      <c r="E51" s="10">
        <v>-2000</v>
      </c>
      <c r="F51" s="10"/>
      <c r="G51" s="8">
        <f>IF(C51=C50,G50,G50+1)</f>
        <v>8</v>
      </c>
    </row>
    <row r="52">
      <c r="A52" s="8">
        <v>2023</v>
      </c>
      <c r="B52" s="9" t="s">
        <v>36</v>
      </c>
      <c r="C52" s="9" t="s">
        <v>64</v>
      </c>
      <c r="D52" s="9" t="s">
        <v>66</v>
      </c>
      <c r="E52" s="10">
        <v>-1500</v>
      </c>
      <c r="F52" s="10"/>
      <c r="G52" s="8">
        <f>IF(C52=C51,G51,G51+1)</f>
        <v>8</v>
      </c>
    </row>
    <row r="53">
      <c r="A53" s="8">
        <v>2023</v>
      </c>
      <c r="B53" s="9" t="s">
        <v>36</v>
      </c>
      <c r="C53" s="9" t="s">
        <v>64</v>
      </c>
      <c r="D53" s="9" t="s">
        <v>67</v>
      </c>
      <c r="E53" s="10">
        <v>-250</v>
      </c>
      <c r="F53" s="10"/>
      <c r="G53" s="8">
        <f>IF(C53=C52,G52,G52+1)</f>
        <v>8</v>
      </c>
    </row>
    <row r="54">
      <c r="A54" s="8">
        <v>2023</v>
      </c>
      <c r="B54" s="9" t="s">
        <v>36</v>
      </c>
      <c r="C54" s="9" t="s">
        <v>68</v>
      </c>
      <c r="D54" s="9" t="s">
        <v>69</v>
      </c>
      <c r="E54" s="10">
        <v>-500</v>
      </c>
      <c r="F54" s="10"/>
      <c r="G54" s="8">
        <f>IF(C54=C53,G53,G53+1)</f>
        <v>9</v>
      </c>
    </row>
    <row r="55">
      <c r="A55" s="8">
        <v>2023</v>
      </c>
      <c r="B55" s="9" t="s">
        <v>36</v>
      </c>
      <c r="C55" s="9" t="s">
        <v>68</v>
      </c>
      <c r="D55" s="9" t="s">
        <v>70</v>
      </c>
      <c r="E55" s="10">
        <v>-200</v>
      </c>
      <c r="F55" s="10"/>
      <c r="G55" s="8">
        <f>IF(C55=C54,G54,G54+1)</f>
        <v>9</v>
      </c>
    </row>
    <row r="56">
      <c r="A56" s="8">
        <v>2023</v>
      </c>
      <c r="B56" s="9" t="s">
        <v>36</v>
      </c>
      <c r="C56" s="9" t="s">
        <v>68</v>
      </c>
      <c r="D56" s="9" t="s">
        <v>71</v>
      </c>
      <c r="E56" s="10">
        <v>-300</v>
      </c>
      <c r="F56" s="10"/>
      <c r="G56" s="8">
        <f>IF(C56=C55,G55,G55+1)</f>
        <v>9</v>
      </c>
    </row>
    <row r="57">
      <c r="A57" s="8">
        <v>2023</v>
      </c>
      <c r="B57" s="9" t="s">
        <v>36</v>
      </c>
      <c r="C57" s="9" t="s">
        <v>68</v>
      </c>
      <c r="D57" s="9" t="s">
        <v>72</v>
      </c>
      <c r="E57" s="10">
        <v>-200</v>
      </c>
      <c r="F57" s="10"/>
      <c r="G57" s="8">
        <f>IF(C57=C56,G56,G56+1)</f>
        <v>9</v>
      </c>
    </row>
    <row r="58">
      <c r="A58" s="8">
        <v>2023</v>
      </c>
      <c r="B58" s="9" t="s">
        <v>36</v>
      </c>
      <c r="C58" s="9" t="s">
        <v>68</v>
      </c>
      <c r="D58" s="9" t="s">
        <v>73</v>
      </c>
      <c r="E58" s="10">
        <v>-300</v>
      </c>
      <c r="F58" s="10"/>
      <c r="G58" s="8">
        <f>IF(C58=C57,G57,G57+1)</f>
        <v>9</v>
      </c>
    </row>
    <row r="59">
      <c r="A59" s="8">
        <v>2023</v>
      </c>
      <c r="B59" s="9" t="s">
        <v>36</v>
      </c>
      <c r="C59" s="9" t="s">
        <v>74</v>
      </c>
      <c r="D59" s="9" t="s">
        <v>75</v>
      </c>
      <c r="E59" s="10">
        <v>-1650</v>
      </c>
      <c r="F59" s="10"/>
      <c r="G59" s="8">
        <f>IF(C59=C58,G58,G58+1)</f>
        <v>10</v>
      </c>
    </row>
    <row r="60">
      <c r="A60" s="8">
        <v>2023</v>
      </c>
      <c r="B60" s="9" t="s">
        <v>36</v>
      </c>
      <c r="C60" s="9" t="s">
        <v>74</v>
      </c>
      <c r="D60" s="9" t="s">
        <v>76</v>
      </c>
      <c r="E60" s="10">
        <v>-51753</v>
      </c>
      <c r="F60" s="10"/>
      <c r="G60" s="8">
        <f>IF(C60=C59,G59,G59+1)</f>
        <v>10</v>
      </c>
    </row>
    <row r="61">
      <c r="A61" s="8">
        <v>2023</v>
      </c>
      <c r="B61" s="9" t="s">
        <v>36</v>
      </c>
      <c r="C61" s="9" t="s">
        <v>74</v>
      </c>
      <c r="D61" s="9" t="s">
        <v>77</v>
      </c>
      <c r="E61" s="10">
        <v>-24363</v>
      </c>
      <c r="F61" s="10"/>
      <c r="G61" s="8">
        <f>IF(C61=C60,G60,G60+1)</f>
        <v>10</v>
      </c>
    </row>
    <row r="62">
      <c r="A62" s="8">
        <v>2023</v>
      </c>
      <c r="B62" s="9" t="s">
        <v>36</v>
      </c>
      <c r="C62" s="9" t="s">
        <v>74</v>
      </c>
      <c r="D62" s="9" t="s">
        <v>78</v>
      </c>
      <c r="E62" s="10">
        <v>-10146</v>
      </c>
      <c r="F62" s="10"/>
      <c r="G62" s="8">
        <f>IF(C62=C61,G61,G61+1)</f>
        <v>10</v>
      </c>
    </row>
    <row r="63">
      <c r="A63" s="8">
        <v>2023</v>
      </c>
      <c r="B63" s="9" t="s">
        <v>36</v>
      </c>
      <c r="C63" s="9" t="s">
        <v>74</v>
      </c>
      <c r="D63" s="9" t="s">
        <v>79</v>
      </c>
      <c r="E63" s="10">
        <v>-6542</v>
      </c>
      <c r="F63" s="10"/>
      <c r="G63" s="8">
        <f>IF(C63=C62,G62,G62+1)</f>
        <v>10</v>
      </c>
    </row>
    <row r="64">
      <c r="A64" s="8">
        <v>2023</v>
      </c>
      <c r="B64" s="9" t="s">
        <v>36</v>
      </c>
      <c r="C64" s="9" t="s">
        <v>74</v>
      </c>
      <c r="D64" s="9" t="s">
        <v>80</v>
      </c>
      <c r="E64" s="10">
        <v>-3800</v>
      </c>
      <c r="F64" s="10"/>
      <c r="G64" s="8">
        <f>IF(C64=C63,G63,G63+1)</f>
        <v>10</v>
      </c>
    </row>
    <row r="65">
      <c r="A65" s="8">
        <v>2023</v>
      </c>
      <c r="B65" s="9" t="s">
        <v>36</v>
      </c>
      <c r="C65" s="9" t="s">
        <v>74</v>
      </c>
      <c r="D65" s="9" t="s">
        <v>81</v>
      </c>
      <c r="E65" s="10">
        <v>-33760</v>
      </c>
      <c r="F65" s="10"/>
      <c r="G65" s="8">
        <f>IF(C65=C64,G64,G64+1)</f>
        <v>10</v>
      </c>
    </row>
    <row r="66">
      <c r="A66" s="8">
        <v>2023</v>
      </c>
      <c r="B66" s="9" t="s">
        <v>36</v>
      </c>
      <c r="C66" s="9" t="s">
        <v>74</v>
      </c>
      <c r="D66" s="9" t="s">
        <v>82</v>
      </c>
      <c r="E66" s="10">
        <v>-3500</v>
      </c>
      <c r="F66" s="10"/>
      <c r="G66" s="8">
        <f>IF(C66=C65,G65,G65+1)</f>
        <v>10</v>
      </c>
    </row>
    <row r="67">
      <c r="A67" s="8">
        <v>2023</v>
      </c>
      <c r="B67" s="9" t="s">
        <v>36</v>
      </c>
      <c r="C67" s="9" t="s">
        <v>83</v>
      </c>
      <c r="D67" s="9" t="s">
        <v>84</v>
      </c>
      <c r="E67" s="10">
        <v>-500</v>
      </c>
      <c r="F67" s="10"/>
      <c r="G67" s="8">
        <f>IF(C67=C66,G66,G66+1)</f>
        <v>11</v>
      </c>
    </row>
    <row r="68">
      <c r="A68" s="8">
        <v>2023</v>
      </c>
      <c r="B68" s="9" t="s">
        <v>36</v>
      </c>
      <c r="C68" s="9" t="s">
        <v>83</v>
      </c>
      <c r="D68" s="9" t="s">
        <v>85</v>
      </c>
      <c r="E68" s="10">
        <v>-1000</v>
      </c>
      <c r="F68" s="10"/>
      <c r="G68" s="8">
        <f>IF(C68=C67,G67,G67+1)</f>
        <v>11</v>
      </c>
    </row>
    <row r="69">
      <c r="A69" s="8">
        <v>2023</v>
      </c>
      <c r="B69" s="9" t="s">
        <v>36</v>
      </c>
      <c r="C69" s="9" t="s">
        <v>83</v>
      </c>
      <c r="D69" s="9" t="s">
        <v>86</v>
      </c>
      <c r="E69" s="10">
        <v>-1000</v>
      </c>
      <c r="F69" s="10"/>
      <c r="G69" s="8">
        <f>IF(C69=C68,G68,G68+1)</f>
        <v>11</v>
      </c>
    </row>
    <row r="70">
      <c r="A70" s="8">
        <v>2023</v>
      </c>
      <c r="B70" s="9" t="s">
        <v>36</v>
      </c>
      <c r="C70" s="9" t="s">
        <v>83</v>
      </c>
      <c r="D70" s="9" t="s">
        <v>87</v>
      </c>
      <c r="E70" s="10">
        <v>-500</v>
      </c>
      <c r="F70" s="10"/>
      <c r="G70" s="8">
        <f>IF(C70=C69,G69,G69+1)</f>
        <v>11</v>
      </c>
    </row>
    <row r="71">
      <c r="A71" s="8">
        <v>2023</v>
      </c>
      <c r="B71" s="9" t="s">
        <v>36</v>
      </c>
      <c r="C71" s="9" t="s">
        <v>83</v>
      </c>
      <c r="D71" s="9" t="s">
        <v>88</v>
      </c>
      <c r="E71" s="10">
        <v>-2000</v>
      </c>
      <c r="F71" s="10"/>
      <c r="G71" s="8">
        <f>IF(C71=C70,G70,G70+1)</f>
        <v>11</v>
      </c>
    </row>
    <row r="72">
      <c r="A72" s="8">
        <v>2023</v>
      </c>
      <c r="B72" s="9" t="s">
        <v>36</v>
      </c>
      <c r="C72" s="9" t="s">
        <v>83</v>
      </c>
      <c r="D72" s="9" t="s">
        <v>89</v>
      </c>
      <c r="E72" s="10">
        <v>-500</v>
      </c>
      <c r="F72" s="10"/>
      <c r="G72" s="8">
        <f>IF(C72=C71,G71,G71+1)</f>
        <v>11</v>
      </c>
    </row>
    <row r="73">
      <c r="A73" s="8">
        <v>2023</v>
      </c>
      <c r="B73" s="9" t="s">
        <v>36</v>
      </c>
      <c r="C73" s="9" t="s">
        <v>90</v>
      </c>
      <c r="D73" s="9" t="s">
        <v>91</v>
      </c>
      <c r="E73" s="10">
        <v>-41600</v>
      </c>
      <c r="F73" s="10"/>
      <c r="G73" s="8">
        <f>IF(C73=C72,G72,G72+1)</f>
        <v>12</v>
      </c>
    </row>
    <row r="74">
      <c r="A74" s="8">
        <v>2023</v>
      </c>
      <c r="B74" s="9" t="s">
        <v>36</v>
      </c>
      <c r="C74" s="9" t="s">
        <v>90</v>
      </c>
      <c r="D74" s="9" t="s">
        <v>92</v>
      </c>
      <c r="E74" s="10">
        <v>-3182</v>
      </c>
      <c r="F74" s="10"/>
      <c r="G74" s="8">
        <f>IF(C74=C73,G73,G73+1)</f>
        <v>12</v>
      </c>
    </row>
    <row r="75">
      <c r="A75" s="8">
        <v>2023</v>
      </c>
      <c r="B75" s="9" t="s">
        <v>36</v>
      </c>
      <c r="C75" s="9" t="s">
        <v>90</v>
      </c>
      <c r="D75" s="9" t="s">
        <v>93</v>
      </c>
      <c r="E75" s="10">
        <v>-1664</v>
      </c>
      <c r="F75" s="10"/>
      <c r="G75" s="8">
        <f>IF(C75=C74,G74,G74+1)</f>
        <v>12</v>
      </c>
    </row>
    <row r="76">
      <c r="A76" s="8">
        <v>2023</v>
      </c>
      <c r="B76" s="9" t="s">
        <v>36</v>
      </c>
      <c r="C76" s="9" t="s">
        <v>90</v>
      </c>
      <c r="D76" s="9" t="s">
        <v>94</v>
      </c>
      <c r="E76" s="10">
        <v>-1000</v>
      </c>
      <c r="F76" s="10"/>
      <c r="G76" s="8">
        <f>IF(C76=C75,G75,G75+1)</f>
        <v>12</v>
      </c>
    </row>
    <row r="77">
      <c r="A77" s="8">
        <v>2023</v>
      </c>
      <c r="B77" s="9" t="s">
        <v>36</v>
      </c>
      <c r="C77" s="9" t="s">
        <v>95</v>
      </c>
      <c r="D77" s="9" t="s">
        <v>96</v>
      </c>
      <c r="E77" s="10">
        <v>-42120</v>
      </c>
      <c r="F77" s="10"/>
      <c r="G77" s="8">
        <f>IF(C77=C76,G76,G76+1)</f>
        <v>13</v>
      </c>
    </row>
    <row r="78">
      <c r="A78" s="8">
        <v>2023</v>
      </c>
      <c r="B78" s="9" t="s">
        <v>36</v>
      </c>
      <c r="C78" s="9" t="s">
        <v>97</v>
      </c>
      <c r="D78" s="9" t="s">
        <v>98</v>
      </c>
      <c r="E78" s="10">
        <v>-200</v>
      </c>
      <c r="F78" s="10"/>
      <c r="G78" s="8">
        <f>IF(C78=C77,G77,G77+1)</f>
        <v>14</v>
      </c>
    </row>
    <row r="79">
      <c r="A79" s="8">
        <v>2023</v>
      </c>
      <c r="B79" s="9" t="s">
        <v>36</v>
      </c>
      <c r="C79" s="9" t="s">
        <v>99</v>
      </c>
      <c r="D79" s="9" t="s">
        <v>100</v>
      </c>
      <c r="E79" s="10">
        <v>-1500</v>
      </c>
      <c r="F79" s="10"/>
      <c r="G79" s="8">
        <f>IF(C79=C78,G78,G78+1)</f>
        <v>15</v>
      </c>
    </row>
    <row r="80">
      <c r="A80" s="8">
        <v>2023</v>
      </c>
      <c r="B80" s="9" t="s">
        <v>36</v>
      </c>
      <c r="C80" s="9" t="s">
        <v>99</v>
      </c>
      <c r="D80" s="9" t="s">
        <v>101</v>
      </c>
      <c r="E80" s="10">
        <v>-500</v>
      </c>
      <c r="F80" s="10"/>
      <c r="G80" s="8">
        <f>IF(C80=C79,G79,G79+1)</f>
        <v>15</v>
      </c>
    </row>
    <row r="81">
      <c r="A81" s="8">
        <v>2023</v>
      </c>
      <c r="B81" s="9" t="s">
        <v>36</v>
      </c>
      <c r="C81" s="9" t="s">
        <v>99</v>
      </c>
      <c r="D81" s="9" t="s">
        <v>102</v>
      </c>
      <c r="E81" s="10">
        <v>-500</v>
      </c>
      <c r="F81" s="10"/>
      <c r="G81" s="8">
        <f>IF(C81=C80,G80,G80+1)</f>
        <v>15</v>
      </c>
    </row>
    <row r="82">
      <c r="A82" s="8">
        <v>2023</v>
      </c>
      <c r="B82" s="9" t="s">
        <v>36</v>
      </c>
      <c r="C82" s="9" t="s">
        <v>99</v>
      </c>
      <c r="D82" s="9" t="s">
        <v>103</v>
      </c>
      <c r="E82" s="10">
        <v>-700</v>
      </c>
      <c r="F82" s="10"/>
      <c r="G82" s="8">
        <f>IF(C82=C81,G81,G81+1)</f>
        <v>15</v>
      </c>
    </row>
    <row r="83">
      <c r="A83" s="8">
        <v>2023</v>
      </c>
      <c r="B83" s="9" t="s">
        <v>36</v>
      </c>
      <c r="C83" s="9" t="s">
        <v>104</v>
      </c>
      <c r="D83" s="9" t="s">
        <v>105</v>
      </c>
      <c r="E83" s="10">
        <v>-9000</v>
      </c>
      <c r="F83" s="10"/>
      <c r="G83" s="8">
        <f>IF(C83=C82,G82,G82+1)</f>
        <v>16</v>
      </c>
    </row>
    <row r="84">
      <c r="A84" s="8">
        <v>2023</v>
      </c>
      <c r="B84" s="9" t="s">
        <v>36</v>
      </c>
      <c r="C84" s="9" t="s">
        <v>104</v>
      </c>
      <c r="D84" s="9" t="s">
        <v>106</v>
      </c>
      <c r="E84" s="10">
        <v>-37000</v>
      </c>
      <c r="F84" s="10"/>
      <c r="G84" s="8">
        <f>IF(C84=C83,G83,G83+1)</f>
        <v>16</v>
      </c>
    </row>
    <row r="85">
      <c r="A85" s="8">
        <v>2023</v>
      </c>
      <c r="B85" s="9" t="s">
        <v>36</v>
      </c>
      <c r="C85" s="9" t="s">
        <v>104</v>
      </c>
      <c r="D85" s="9" t="s">
        <v>107</v>
      </c>
      <c r="E85" s="10">
        <v>-33000</v>
      </c>
      <c r="F85" s="10"/>
      <c r="G85" s="8">
        <f>IF(C85=C84,G84,G84+1)</f>
        <v>16</v>
      </c>
    </row>
    <row r="86">
      <c r="A86" s="8">
        <v>2023</v>
      </c>
      <c r="B86" s="9" t="s">
        <v>36</v>
      </c>
      <c r="C86" s="9" t="s">
        <v>104</v>
      </c>
      <c r="D86" s="9" t="s">
        <v>108</v>
      </c>
      <c r="E86" s="10">
        <v>-1500</v>
      </c>
      <c r="F86" s="10"/>
      <c r="G86" s="8">
        <f>IF(C86=C85,G85,G85+1)</f>
        <v>16</v>
      </c>
    </row>
    <row r="87">
      <c r="A87" s="8">
        <v>2023</v>
      </c>
      <c r="B87" s="9" t="s">
        <v>36</v>
      </c>
      <c r="C87" s="9" t="s">
        <v>104</v>
      </c>
      <c r="D87" s="9" t="s">
        <v>109</v>
      </c>
      <c r="E87" s="10">
        <v>-1000</v>
      </c>
      <c r="F87" s="10"/>
      <c r="G87" s="8">
        <f>IF(C87=C86,G86,G86+1)</f>
        <v>16</v>
      </c>
    </row>
    <row r="88">
      <c r="A88" s="8">
        <v>2023</v>
      </c>
      <c r="B88" s="9" t="s">
        <v>36</v>
      </c>
      <c r="C88" s="9" t="s">
        <v>104</v>
      </c>
      <c r="D88" s="9" t="s">
        <v>110</v>
      </c>
      <c r="E88" s="10">
        <v>-2500</v>
      </c>
      <c r="F88" s="10"/>
      <c r="G88" s="8">
        <f>IF(C88=C87,G87,G87+1)</f>
        <v>16</v>
      </c>
    </row>
    <row r="89">
      <c r="A89" s="8">
        <v>2023</v>
      </c>
      <c r="B89" s="9" t="s">
        <v>36</v>
      </c>
      <c r="C89" s="9" t="s">
        <v>104</v>
      </c>
      <c r="D89" s="9" t="s">
        <v>111</v>
      </c>
      <c r="E89" s="10">
        <v>-250</v>
      </c>
      <c r="F89" s="10"/>
      <c r="G89" s="8">
        <f>IF(C89=C88,G88,G88+1)</f>
        <v>16</v>
      </c>
    </row>
    <row r="90">
      <c r="A90" s="8">
        <v>2023</v>
      </c>
      <c r="B90" s="9" t="s">
        <v>36</v>
      </c>
      <c r="C90" s="9" t="s">
        <v>104</v>
      </c>
      <c r="D90" s="9" t="s">
        <v>112</v>
      </c>
      <c r="E90" s="10">
        <v>-5000</v>
      </c>
      <c r="F90" s="10"/>
      <c r="G90" s="8">
        <f>IF(C90=C89,G89,G89+1)</f>
        <v>16</v>
      </c>
    </row>
    <row r="91">
      <c r="A91" s="8">
        <v>2023</v>
      </c>
      <c r="B91" s="9" t="s">
        <v>36</v>
      </c>
      <c r="C91" s="9" t="s">
        <v>104</v>
      </c>
      <c r="D91" s="9" t="s">
        <v>113</v>
      </c>
      <c r="E91" s="10">
        <v>-200</v>
      </c>
      <c r="F91" s="10"/>
      <c r="G91" s="8">
        <f>IF(C91=C90,G90,G90+1)</f>
        <v>16</v>
      </c>
    </row>
    <row r="92">
      <c r="A92" s="8">
        <v>2023</v>
      </c>
      <c r="B92" s="9" t="s">
        <v>36</v>
      </c>
      <c r="C92" s="9" t="s">
        <v>114</v>
      </c>
      <c r="D92" s="9" t="s">
        <v>115</v>
      </c>
      <c r="E92" s="10">
        <v>-1000</v>
      </c>
      <c r="F92" s="10"/>
      <c r="G92" s="8">
        <f>IF(C92=C91,G91,G91+1)</f>
        <v>17</v>
      </c>
    </row>
    <row r="93">
      <c r="A93" s="8">
        <v>2023</v>
      </c>
      <c r="B93" s="9" t="s">
        <v>36</v>
      </c>
      <c r="C93" s="9" t="s">
        <v>114</v>
      </c>
      <c r="D93" s="9" t="s">
        <v>116</v>
      </c>
      <c r="E93" s="10">
        <v>-450</v>
      </c>
      <c r="F93" s="10"/>
      <c r="G93" s="8">
        <f>IF(C93=C92,G92,G92+1)</f>
        <v>17</v>
      </c>
    </row>
    <row r="94">
      <c r="A94" s="8">
        <v>2023</v>
      </c>
      <c r="B94" s="9" t="s">
        <v>36</v>
      </c>
      <c r="C94" s="9" t="s">
        <v>114</v>
      </c>
      <c r="D94" s="9" t="s">
        <v>117</v>
      </c>
      <c r="E94" s="10">
        <v>-180</v>
      </c>
      <c r="F94" s="10"/>
      <c r="G94" s="8">
        <f>IF(C94=C93,G93,G93+1)</f>
        <v>17</v>
      </c>
    </row>
    <row r="95">
      <c r="A95" s="8">
        <v>2023</v>
      </c>
      <c r="B95" s="9" t="s">
        <v>36</v>
      </c>
      <c r="C95" s="9" t="s">
        <v>114</v>
      </c>
      <c r="D95" s="9" t="s">
        <v>118</v>
      </c>
      <c r="E95" s="10">
        <v>-180</v>
      </c>
      <c r="F95" s="10"/>
      <c r="G95" s="8">
        <f>IF(C95=C94,G94,G94+1)</f>
        <v>17</v>
      </c>
    </row>
    <row r="96">
      <c r="A96" s="8">
        <v>2023</v>
      </c>
      <c r="B96" s="9" t="s">
        <v>36</v>
      </c>
      <c r="C96" s="9" t="s">
        <v>119</v>
      </c>
      <c r="D96" s="9" t="s">
        <v>120</v>
      </c>
      <c r="E96" s="10">
        <v>-10000</v>
      </c>
      <c r="F96" s="10"/>
      <c r="G96" s="8">
        <f>IF(C96=C95,G95,G95+1)</f>
        <v>18</v>
      </c>
    </row>
    <row r="97">
      <c r="A97" s="8">
        <v>2023</v>
      </c>
      <c r="B97" s="9" t="s">
        <v>36</v>
      </c>
      <c r="C97" s="9" t="s">
        <v>119</v>
      </c>
      <c r="D97" s="9" t="s">
        <v>121</v>
      </c>
      <c r="E97" s="10">
        <v>-14400</v>
      </c>
      <c r="F97" s="10"/>
      <c r="G97" s="8">
        <f>IF(C97=C96,G96,G96+1)</f>
        <v>18</v>
      </c>
    </row>
    <row r="98">
      <c r="A98" s="8">
        <v>2023</v>
      </c>
      <c r="B98" s="9" t="s">
        <v>36</v>
      </c>
      <c r="C98" s="9" t="s">
        <v>119</v>
      </c>
      <c r="D98" s="9" t="s">
        <v>122</v>
      </c>
      <c r="E98" s="10">
        <v>-44800</v>
      </c>
      <c r="F98" s="10"/>
      <c r="G98" s="8">
        <f>IF(C98=C97,G97,G97+1)</f>
        <v>18</v>
      </c>
    </row>
    <row r="99">
      <c r="A99" s="8">
        <v>2023</v>
      </c>
      <c r="B99" s="9" t="s">
        <v>36</v>
      </c>
      <c r="C99" s="9" t="s">
        <v>119</v>
      </c>
      <c r="D99" s="9" t="s">
        <v>123</v>
      </c>
      <c r="E99" s="10">
        <v>-20000</v>
      </c>
      <c r="F99" s="10"/>
      <c r="G99" s="8">
        <f>IF(C99=C98,G98,G98+1)</f>
        <v>18</v>
      </c>
    </row>
    <row r="100">
      <c r="A100" s="8">
        <v>2023</v>
      </c>
      <c r="B100" s="9" t="s">
        <v>36</v>
      </c>
      <c r="C100" s="9" t="s">
        <v>119</v>
      </c>
      <c r="D100" s="9" t="s">
        <v>124</v>
      </c>
      <c r="E100" s="10">
        <v>-1600</v>
      </c>
      <c r="F100" s="10"/>
      <c r="G100" s="8">
        <f>IF(C100=C99,G99,G99+1)</f>
        <v>18</v>
      </c>
    </row>
    <row r="101">
      <c r="A101" s="8">
        <v>2023</v>
      </c>
      <c r="B101" s="9" t="s">
        <v>36</v>
      </c>
      <c r="C101" s="9" t="s">
        <v>119</v>
      </c>
      <c r="D101" s="9" t="s">
        <v>125</v>
      </c>
      <c r="E101" s="10">
        <v>-1600</v>
      </c>
      <c r="F101" s="10"/>
      <c r="G101" s="8">
        <f>IF(C101=C100,G100,G100+1)</f>
        <v>18</v>
      </c>
    </row>
    <row r="102">
      <c r="A102" s="8">
        <v>2023</v>
      </c>
      <c r="B102" s="9" t="s">
        <v>36</v>
      </c>
      <c r="C102" s="9" t="s">
        <v>119</v>
      </c>
      <c r="D102" s="9" t="s">
        <v>126</v>
      </c>
      <c r="E102" s="10">
        <v>-7200</v>
      </c>
      <c r="F102" s="10"/>
      <c r="G102" s="8">
        <f>IF(C102=C101,G101,G101+1)</f>
        <v>18</v>
      </c>
    </row>
    <row r="103">
      <c r="A103" s="8">
        <v>2023</v>
      </c>
      <c r="B103" s="9" t="s">
        <v>36</v>
      </c>
      <c r="C103" s="9" t="s">
        <v>119</v>
      </c>
      <c r="D103" s="9" t="s">
        <v>127</v>
      </c>
      <c r="E103" s="10">
        <v>-7200</v>
      </c>
      <c r="F103" s="10"/>
      <c r="G103" s="8">
        <f>IF(C103=C102,G102,G102+1)</f>
        <v>18</v>
      </c>
    </row>
    <row r="104">
      <c r="A104" s="8">
        <v>2023</v>
      </c>
      <c r="B104" s="9" t="s">
        <v>36</v>
      </c>
      <c r="C104" s="9" t="s">
        <v>119</v>
      </c>
      <c r="D104" s="9" t="s">
        <v>128</v>
      </c>
      <c r="E104" s="10">
        <v>-10000</v>
      </c>
      <c r="F104" s="10"/>
      <c r="G104" s="8">
        <f>IF(C104=C103,G103,G103+1)</f>
        <v>18</v>
      </c>
    </row>
    <row r="105">
      <c r="A105" s="8">
        <v>2023</v>
      </c>
      <c r="B105" s="9" t="s">
        <v>36</v>
      </c>
      <c r="C105" s="9" t="s">
        <v>129</v>
      </c>
      <c r="D105" s="9" t="s">
        <v>130</v>
      </c>
      <c r="E105" s="10">
        <v>-34600</v>
      </c>
      <c r="F105" s="10"/>
      <c r="G105" s="8">
        <f>IF(C105=C104,G104,G104+1)</f>
        <v>19</v>
      </c>
    </row>
    <row r="106">
      <c r="A106" s="8">
        <v>2023</v>
      </c>
      <c r="B106" s="9" t="s">
        <v>36</v>
      </c>
      <c r="C106" s="9" t="s">
        <v>131</v>
      </c>
      <c r="D106" s="9" t="s">
        <v>132</v>
      </c>
      <c r="E106" s="10">
        <v>-1300</v>
      </c>
      <c r="F106" s="10"/>
      <c r="G106" s="8">
        <f>IF(C106=C105,G105,G105+1)</f>
        <v>20</v>
      </c>
    </row>
    <row r="107">
      <c r="A107" s="8">
        <v>2023</v>
      </c>
      <c r="B107" s="9" t="s">
        <v>36</v>
      </c>
      <c r="C107" s="9" t="s">
        <v>131</v>
      </c>
      <c r="D107" s="9" t="s">
        <v>133</v>
      </c>
      <c r="E107" s="10">
        <v>-300</v>
      </c>
      <c r="F107" s="10"/>
      <c r="G107" s="8">
        <f>IF(C107=C106,G106,G106+1)</f>
        <v>20</v>
      </c>
    </row>
    <row r="108">
      <c r="A108" s="8">
        <v>2023</v>
      </c>
      <c r="B108" s="9" t="s">
        <v>36</v>
      </c>
      <c r="C108" s="9" t="s">
        <v>131</v>
      </c>
      <c r="D108" s="9" t="s">
        <v>134</v>
      </c>
      <c r="E108" s="10">
        <v>-150</v>
      </c>
      <c r="F108" s="10"/>
      <c r="G108" s="8">
        <f>IF(C108=C107,G107,G107+1)</f>
        <v>20</v>
      </c>
    </row>
    <row r="109">
      <c r="A109" s="8">
        <v>2023</v>
      </c>
      <c r="B109" s="9" t="s">
        <v>36</v>
      </c>
      <c r="C109" s="9" t="s">
        <v>131</v>
      </c>
      <c r="D109" s="9" t="s">
        <v>135</v>
      </c>
      <c r="E109" s="10">
        <v>-150</v>
      </c>
      <c r="F109" s="10"/>
      <c r="G109" s="8">
        <f>IF(C109=C108,G108,G108+1)</f>
        <v>20</v>
      </c>
    </row>
    <row r="110">
      <c r="A110" s="8">
        <v>2023</v>
      </c>
      <c r="B110" s="9" t="s">
        <v>36</v>
      </c>
      <c r="C110" s="9" t="s">
        <v>136</v>
      </c>
      <c r="D110" s="9" t="s">
        <v>137</v>
      </c>
      <c r="E110" s="10">
        <v>-8000</v>
      </c>
      <c r="F110" s="10"/>
      <c r="G110" s="8">
        <f>IF(C110=C109,G109,G109+1)</f>
        <v>21</v>
      </c>
    </row>
    <row r="111">
      <c r="A111" s="8">
        <v>2023</v>
      </c>
      <c r="B111" s="9" t="s">
        <v>36</v>
      </c>
      <c r="C111" s="9" t="s">
        <v>136</v>
      </c>
      <c r="D111" s="9" t="s">
        <v>138</v>
      </c>
      <c r="E111" s="10">
        <v>-200</v>
      </c>
      <c r="F111" s="10"/>
      <c r="G111" s="8">
        <f>IF(C111=C110,G110,G110+1)</f>
        <v>21</v>
      </c>
    </row>
    <row r="112">
      <c r="A112" s="8">
        <v>2023</v>
      </c>
      <c r="B112" s="9" t="s">
        <v>36</v>
      </c>
      <c r="C112" s="9" t="s">
        <v>136</v>
      </c>
      <c r="D112" s="9" t="s">
        <v>139</v>
      </c>
      <c r="E112" s="10">
        <v>-1000</v>
      </c>
      <c r="F112" s="10"/>
      <c r="G112" s="8">
        <f>IF(C112=C111,G111,G111+1)</f>
        <v>21</v>
      </c>
    </row>
    <row r="113">
      <c r="A113" s="8">
        <v>2023</v>
      </c>
      <c r="B113" s="9" t="s">
        <v>36</v>
      </c>
      <c r="C113" s="9" t="s">
        <v>136</v>
      </c>
      <c r="D113" s="9" t="s">
        <v>140</v>
      </c>
      <c r="E113" s="10">
        <v>-500</v>
      </c>
      <c r="F113" s="10"/>
      <c r="G113" s="8">
        <f>IF(C113=C112,G112,G112+1)</f>
        <v>21</v>
      </c>
    </row>
    <row r="114">
      <c r="A114" s="8">
        <v>2023</v>
      </c>
      <c r="B114" s="9" t="s">
        <v>36</v>
      </c>
      <c r="C114" s="9" t="s">
        <v>141</v>
      </c>
      <c r="D114" s="9" t="s">
        <v>142</v>
      </c>
      <c r="E114" s="10">
        <v>-11600</v>
      </c>
      <c r="F114" s="10"/>
      <c r="G114" s="8">
        <f>IF(C114=C113,G113,G113+1)</f>
        <v>22</v>
      </c>
    </row>
    <row r="115">
      <c r="A115" s="8">
        <v>2023</v>
      </c>
      <c r="B115" s="9" t="s">
        <v>36</v>
      </c>
      <c r="C115" s="9" t="s">
        <v>141</v>
      </c>
      <c r="D115" s="9" t="s">
        <v>143</v>
      </c>
      <c r="E115" s="10">
        <v>-100</v>
      </c>
      <c r="F115" s="10"/>
      <c r="G115" s="8">
        <f>IF(C115=C114,G114,G114+1)</f>
        <v>22</v>
      </c>
    </row>
    <row r="116">
      <c r="A116" s="8">
        <v>2023</v>
      </c>
      <c r="B116" s="9" t="s">
        <v>36</v>
      </c>
      <c r="C116" s="9" t="s">
        <v>144</v>
      </c>
      <c r="D116" s="9" t="s">
        <v>145</v>
      </c>
      <c r="E116" s="10">
        <v>-2000</v>
      </c>
      <c r="F116" s="10"/>
      <c r="G116" s="8">
        <f>IF(C116=C115,G115,G115+1)</f>
        <v>23</v>
      </c>
    </row>
    <row r="117">
      <c r="A117" s="8">
        <v>2023</v>
      </c>
      <c r="B117" s="9" t="s">
        <v>36</v>
      </c>
      <c r="C117" s="9" t="s">
        <v>144</v>
      </c>
      <c r="D117" s="9" t="s">
        <v>146</v>
      </c>
      <c r="E117" s="10">
        <v>-122</v>
      </c>
      <c r="F117" s="10"/>
      <c r="G117" s="8">
        <f>IF(C117=C116,G116,G116+1)</f>
        <v>23</v>
      </c>
    </row>
    <row r="118">
      <c r="A118" s="8">
        <v>2023</v>
      </c>
      <c r="B118" s="9" t="s">
        <v>36</v>
      </c>
      <c r="C118" s="9" t="s">
        <v>144</v>
      </c>
      <c r="D118" s="9" t="s">
        <v>147</v>
      </c>
      <c r="E118" s="10">
        <v>-3660</v>
      </c>
      <c r="F118" s="10"/>
      <c r="G118" s="8">
        <f>IF(C118=C117,G117,G117+1)</f>
        <v>23</v>
      </c>
    </row>
    <row r="119">
      <c r="A119" s="8">
        <v>2023</v>
      </c>
      <c r="B119" s="9" t="s">
        <v>36</v>
      </c>
      <c r="C119" s="9" t="s">
        <v>144</v>
      </c>
      <c r="D119" s="9" t="s">
        <v>148</v>
      </c>
      <c r="E119" s="10">
        <v>-122</v>
      </c>
      <c r="F119" s="10"/>
      <c r="G119" s="8">
        <f>IF(C119=C118,G118,G118+1)</f>
        <v>23</v>
      </c>
    </row>
    <row r="120">
      <c r="A120" s="8">
        <v>2023</v>
      </c>
      <c r="B120" s="9" t="s">
        <v>36</v>
      </c>
      <c r="C120" s="9" t="s">
        <v>144</v>
      </c>
      <c r="D120" s="9" t="s">
        <v>149</v>
      </c>
      <c r="E120" s="10">
        <v>-610</v>
      </c>
      <c r="F120" s="10"/>
      <c r="G120" s="8">
        <f>IF(C120=C119,G119,G119+1)</f>
        <v>23</v>
      </c>
    </row>
    <row r="121">
      <c r="A121" s="8">
        <v>2023</v>
      </c>
      <c r="B121" s="9" t="s">
        <v>36</v>
      </c>
      <c r="C121" s="9" t="s">
        <v>144</v>
      </c>
      <c r="D121" s="9" t="s">
        <v>150</v>
      </c>
      <c r="E121" s="10">
        <v>-500</v>
      </c>
      <c r="F121" s="10"/>
      <c r="G121" s="8">
        <f>IF(C121=C120,G120,G120+1)</f>
        <v>23</v>
      </c>
    </row>
    <row r="122">
      <c r="A122" s="8">
        <v>2023</v>
      </c>
      <c r="B122" s="9" t="s">
        <v>36</v>
      </c>
      <c r="C122" s="9" t="s">
        <v>144</v>
      </c>
      <c r="D122" s="9" t="s">
        <v>151</v>
      </c>
      <c r="E122" s="10">
        <v>-1000</v>
      </c>
      <c r="F122" s="10"/>
      <c r="G122" s="8">
        <f>IF(C122=C121,G121,G121+1)</f>
        <v>23</v>
      </c>
    </row>
    <row r="123">
      <c r="A123" s="8">
        <v>2023</v>
      </c>
      <c r="B123" s="9" t="s">
        <v>36</v>
      </c>
      <c r="C123" s="9" t="s">
        <v>144</v>
      </c>
      <c r="D123" s="9" t="s">
        <v>152</v>
      </c>
      <c r="E123" s="10">
        <v>-4545</v>
      </c>
      <c r="F123" s="10"/>
      <c r="G123" s="8">
        <f>IF(C123=C122,G122,G122+1)</f>
        <v>23</v>
      </c>
    </row>
    <row r="124">
      <c r="A124" s="8">
        <v>2023</v>
      </c>
      <c r="B124" s="9" t="s">
        <v>36</v>
      </c>
      <c r="C124" s="9" t="s">
        <v>144</v>
      </c>
      <c r="D124" s="9" t="s">
        <v>153</v>
      </c>
      <c r="E124" s="10">
        <v>-12997</v>
      </c>
      <c r="F124" s="10"/>
      <c r="G124" s="8">
        <f>IF(C124=C123,G123,G123+1)</f>
        <v>23</v>
      </c>
    </row>
    <row r="125">
      <c r="A125" s="8">
        <v>2023</v>
      </c>
      <c r="B125" s="9" t="s">
        <v>36</v>
      </c>
      <c r="C125" s="9" t="s">
        <v>144</v>
      </c>
      <c r="D125" s="9" t="s">
        <v>154</v>
      </c>
      <c r="E125" s="10">
        <v>-16819</v>
      </c>
      <c r="F125" s="10"/>
      <c r="G125" s="8">
        <f>IF(C125=C124,G124,G124+1)</f>
        <v>23</v>
      </c>
    </row>
    <row r="126">
      <c r="A126" s="8">
        <v>2023</v>
      </c>
      <c r="B126" s="9" t="s">
        <v>36</v>
      </c>
      <c r="C126" s="9" t="s">
        <v>144</v>
      </c>
      <c r="D126" s="9" t="s">
        <v>155</v>
      </c>
      <c r="E126" s="10">
        <v>-671</v>
      </c>
      <c r="F126" s="10"/>
      <c r="G126" s="8">
        <f>IF(C126=C125,G125,G125+1)</f>
        <v>23</v>
      </c>
    </row>
    <row r="127">
      <c r="A127" s="8">
        <v>2023</v>
      </c>
      <c r="B127" s="9" t="s">
        <v>36</v>
      </c>
      <c r="C127" s="9" t="s">
        <v>144</v>
      </c>
      <c r="D127" s="9" t="s">
        <v>156</v>
      </c>
      <c r="E127" s="10">
        <v>-7320</v>
      </c>
      <c r="F127" s="10"/>
      <c r="G127" s="8">
        <f>IF(C127=C126,G126,G126+1)</f>
        <v>23</v>
      </c>
    </row>
    <row r="128">
      <c r="A128" s="8">
        <v>2023</v>
      </c>
      <c r="B128" s="9" t="s">
        <v>36</v>
      </c>
      <c r="C128" s="9" t="s">
        <v>144</v>
      </c>
      <c r="D128" s="9" t="s">
        <v>157</v>
      </c>
      <c r="E128" s="10">
        <v>-11346</v>
      </c>
      <c r="F128" s="10"/>
      <c r="G128" s="8">
        <f>IF(C128=C127,G127,G127+1)</f>
        <v>23</v>
      </c>
    </row>
    <row r="129">
      <c r="A129" s="8">
        <v>2023</v>
      </c>
      <c r="B129" s="9" t="s">
        <v>36</v>
      </c>
      <c r="C129" s="9" t="s">
        <v>144</v>
      </c>
      <c r="D129" s="9" t="s">
        <v>158</v>
      </c>
      <c r="E129" s="10">
        <v>-610</v>
      </c>
      <c r="F129" s="10"/>
      <c r="G129" s="8">
        <f>IF(C129=C128,G128,G128+1)</f>
        <v>23</v>
      </c>
    </row>
    <row r="130">
      <c r="A130" s="8">
        <v>2023</v>
      </c>
      <c r="B130" s="9" t="s">
        <v>36</v>
      </c>
      <c r="C130" s="9" t="s">
        <v>144</v>
      </c>
      <c r="D130" s="9" t="s">
        <v>159</v>
      </c>
      <c r="E130" s="10">
        <v>-1400</v>
      </c>
      <c r="F130" s="10"/>
      <c r="G130" s="8">
        <f>IF(C130=C129,G129,G129+1)</f>
        <v>23</v>
      </c>
    </row>
    <row r="131">
      <c r="A131" s="8">
        <v>2023</v>
      </c>
      <c r="B131" s="9" t="s">
        <v>36</v>
      </c>
      <c r="C131" s="9" t="s">
        <v>144</v>
      </c>
      <c r="D131" s="9" t="s">
        <v>160</v>
      </c>
      <c r="E131" s="10">
        <v>-1000</v>
      </c>
      <c r="F131" s="10"/>
      <c r="G131" s="8">
        <f>IF(C131=C130,G130,G130+1)</f>
        <v>23</v>
      </c>
    </row>
    <row r="132">
      <c r="A132" s="8">
        <v>2023</v>
      </c>
      <c r="B132" s="9" t="s">
        <v>36</v>
      </c>
      <c r="C132" s="9" t="s">
        <v>144</v>
      </c>
      <c r="D132" s="9" t="s">
        <v>161</v>
      </c>
      <c r="E132" s="10">
        <v>-12000</v>
      </c>
      <c r="F132" s="10"/>
      <c r="G132" s="8">
        <f>IF(C132=C131,G131,G131+1)</f>
        <v>23</v>
      </c>
    </row>
    <row r="133">
      <c r="A133" s="8">
        <v>2023</v>
      </c>
      <c r="B133" s="9" t="s">
        <v>36</v>
      </c>
      <c r="C133" s="9" t="s">
        <v>144</v>
      </c>
      <c r="D133" s="9" t="s">
        <v>162</v>
      </c>
      <c r="E133" s="10">
        <v>-26300</v>
      </c>
      <c r="F133" s="10"/>
      <c r="G133" s="8">
        <f>IF(C133=C132,G132,G132+1)</f>
        <v>23</v>
      </c>
    </row>
    <row r="134">
      <c r="A134" s="8">
        <v>2023</v>
      </c>
      <c r="B134" s="9" t="s">
        <v>36</v>
      </c>
      <c r="C134" s="9" t="s">
        <v>144</v>
      </c>
      <c r="D134" s="9" t="s">
        <v>163</v>
      </c>
      <c r="E134" s="10">
        <v>-8000</v>
      </c>
      <c r="F134" s="10"/>
      <c r="G134" s="8">
        <f>IF(C134=C133,G133,G133+1)</f>
        <v>23</v>
      </c>
    </row>
    <row r="135">
      <c r="A135" s="8">
        <v>2023</v>
      </c>
      <c r="B135" s="9" t="s">
        <v>36</v>
      </c>
      <c r="C135" s="9" t="s">
        <v>144</v>
      </c>
      <c r="D135" s="9" t="s">
        <v>164</v>
      </c>
      <c r="E135" s="10">
        <v>-30900</v>
      </c>
      <c r="F135" s="10"/>
      <c r="G135" s="8">
        <f>IF(C135=C134,G134,G134+1)</f>
        <v>23</v>
      </c>
    </row>
    <row r="136">
      <c r="A136" s="8">
        <v>2023</v>
      </c>
      <c r="B136" s="9" t="s">
        <v>36</v>
      </c>
      <c r="C136" s="9" t="s">
        <v>144</v>
      </c>
      <c r="D136" s="9" t="s">
        <v>165</v>
      </c>
      <c r="E136" s="10">
        <v>-2200</v>
      </c>
      <c r="F136" s="10"/>
      <c r="G136" s="8">
        <f>IF(C136=C135,G135,G135+1)</f>
        <v>23</v>
      </c>
    </row>
    <row r="137">
      <c r="A137" s="8">
        <v>2023</v>
      </c>
      <c r="B137" s="9" t="s">
        <v>36</v>
      </c>
      <c r="C137" s="9" t="s">
        <v>144</v>
      </c>
      <c r="D137" s="9" t="s">
        <v>166</v>
      </c>
      <c r="E137" s="10">
        <v>-3500</v>
      </c>
      <c r="F137" s="10"/>
      <c r="G137" s="8">
        <f>IF(C137=C136,G136,G136+1)</f>
        <v>23</v>
      </c>
    </row>
    <row r="138">
      <c r="A138" s="8">
        <v>2023</v>
      </c>
      <c r="B138" s="9" t="s">
        <v>36</v>
      </c>
      <c r="C138" s="9" t="s">
        <v>144</v>
      </c>
      <c r="D138" s="9" t="s">
        <v>167</v>
      </c>
      <c r="E138" s="10">
        <v>-2500</v>
      </c>
      <c r="F138" s="10"/>
      <c r="G138" s="8">
        <f>IF(C138=C137,G137,G137+1)</f>
        <v>23</v>
      </c>
    </row>
    <row r="139">
      <c r="A139" s="8">
        <v>2023</v>
      </c>
      <c r="B139" s="9" t="s">
        <v>36</v>
      </c>
      <c r="C139" s="9" t="s">
        <v>144</v>
      </c>
      <c r="D139" s="9" t="s">
        <v>168</v>
      </c>
      <c r="E139" s="10">
        <v>-2500</v>
      </c>
      <c r="F139" s="10"/>
      <c r="G139" s="8">
        <f>IF(C139=C138,G138,G138+1)</f>
        <v>23</v>
      </c>
    </row>
    <row r="140">
      <c r="A140" s="8">
        <v>2023</v>
      </c>
      <c r="B140" s="9" t="s">
        <v>36</v>
      </c>
      <c r="C140" s="9" t="s">
        <v>144</v>
      </c>
      <c r="D140" s="9" t="s">
        <v>169</v>
      </c>
      <c r="E140" s="10">
        <v>-3800</v>
      </c>
      <c r="F140" s="10"/>
      <c r="G140" s="8">
        <f>IF(C140=C139,G139,G139+1)</f>
        <v>23</v>
      </c>
    </row>
    <row r="141">
      <c r="A141" s="8">
        <v>2023</v>
      </c>
      <c r="B141" s="9" t="s">
        <v>36</v>
      </c>
      <c r="C141" s="9" t="s">
        <v>144</v>
      </c>
      <c r="D141" s="9" t="s">
        <v>170</v>
      </c>
      <c r="E141" s="10">
        <v>-1000</v>
      </c>
      <c r="F141" s="10"/>
      <c r="G141" s="8">
        <f>IF(C141=C140,G140,G140+1)</f>
        <v>23</v>
      </c>
    </row>
    <row r="142">
      <c r="A142" s="8">
        <v>2023</v>
      </c>
      <c r="B142" s="9" t="s">
        <v>36</v>
      </c>
      <c r="C142" s="9" t="s">
        <v>144</v>
      </c>
      <c r="D142" s="9" t="s">
        <v>171</v>
      </c>
      <c r="E142" s="10">
        <v>-20000</v>
      </c>
      <c r="F142" s="10"/>
      <c r="G142" s="8">
        <f>IF(C142=C141,G141,G141+1)</f>
        <v>23</v>
      </c>
    </row>
    <row r="143">
      <c r="A143" s="8">
        <v>2023</v>
      </c>
      <c r="B143" s="9" t="s">
        <v>36</v>
      </c>
      <c r="C143" s="9" t="s">
        <v>144</v>
      </c>
      <c r="D143" s="9" t="s">
        <v>172</v>
      </c>
      <c r="E143" s="10">
        <v>-500</v>
      </c>
      <c r="F143" s="10"/>
      <c r="G143" s="8">
        <f>IF(C143=C142,G142,G142+1)</f>
        <v>23</v>
      </c>
    </row>
    <row r="144">
      <c r="A144" s="8">
        <v>2023</v>
      </c>
      <c r="B144" s="9" t="s">
        <v>36</v>
      </c>
      <c r="C144" s="9" t="s">
        <v>173</v>
      </c>
      <c r="D144" s="9" t="s">
        <v>174</v>
      </c>
      <c r="E144" s="10">
        <v>-7449</v>
      </c>
      <c r="F144" s="10"/>
      <c r="G144" s="8">
        <f>IF(C144=C143,G143,G143+1)</f>
        <v>24</v>
      </c>
    </row>
    <row r="145">
      <c r="A145" s="8">
        <v>2023</v>
      </c>
      <c r="B145" s="9" t="s">
        <v>36</v>
      </c>
      <c r="C145" s="9" t="s">
        <v>173</v>
      </c>
      <c r="D145" s="9" t="s">
        <v>175</v>
      </c>
      <c r="E145" s="10">
        <v>-93167</v>
      </c>
      <c r="F145" s="10"/>
      <c r="G145" s="8">
        <f>IF(C145=C144,G144,G144+1)</f>
        <v>24</v>
      </c>
    </row>
    <row r="146">
      <c r="A146" s="8">
        <v>2023</v>
      </c>
      <c r="B146" s="9" t="s">
        <v>36</v>
      </c>
      <c r="C146" s="9" t="s">
        <v>173</v>
      </c>
      <c r="D146" s="9" t="s">
        <v>176</v>
      </c>
      <c r="E146" s="10">
        <v>-11000</v>
      </c>
      <c r="F146" s="10"/>
      <c r="G146" s="8">
        <f>IF(C146=C145,G145,G145+1)</f>
        <v>24</v>
      </c>
    </row>
    <row r="147">
      <c r="A147" s="8">
        <v>2023</v>
      </c>
      <c r="B147" s="9" t="s">
        <v>36</v>
      </c>
      <c r="C147" s="9" t="s">
        <v>173</v>
      </c>
      <c r="D147" s="9" t="s">
        <v>177</v>
      </c>
      <c r="E147" s="10">
        <v>-3895</v>
      </c>
      <c r="F147" s="10"/>
      <c r="G147" s="8">
        <f>IF(C147=C146,G146,G146+1)</f>
        <v>24</v>
      </c>
    </row>
    <row r="148">
      <c r="A148" s="8">
        <v>2023</v>
      </c>
      <c r="B148" s="9" t="s">
        <v>36</v>
      </c>
      <c r="C148" s="9" t="s">
        <v>173</v>
      </c>
      <c r="D148" s="9" t="s">
        <v>178</v>
      </c>
      <c r="E148" s="10">
        <v>-500</v>
      </c>
      <c r="F148" s="10"/>
      <c r="G148" s="8">
        <f>IF(C148=C147,G147,G147+1)</f>
        <v>24</v>
      </c>
    </row>
    <row r="149">
      <c r="A149" s="8">
        <v>2023</v>
      </c>
      <c r="B149" s="9" t="s">
        <v>36</v>
      </c>
      <c r="C149" s="9" t="s">
        <v>179</v>
      </c>
      <c r="D149" s="9" t="s">
        <v>180</v>
      </c>
      <c r="E149" s="10">
        <v>-200</v>
      </c>
      <c r="F149" s="10"/>
      <c r="G149" s="8">
        <f>IF(C149=C148,G148,G148+1)</f>
        <v>25</v>
      </c>
    </row>
    <row r="150">
      <c r="A150" s="8">
        <v>2023</v>
      </c>
      <c r="B150" s="9" t="s">
        <v>36</v>
      </c>
      <c r="C150" s="9" t="s">
        <v>179</v>
      </c>
      <c r="D150" s="9" t="s">
        <v>181</v>
      </c>
      <c r="E150" s="10">
        <v>-700</v>
      </c>
      <c r="F150" s="10"/>
      <c r="G150" s="8">
        <f>IF(C150=C149,G149,G149+1)</f>
        <v>25</v>
      </c>
    </row>
    <row r="151">
      <c r="A151" s="8">
        <v>2023</v>
      </c>
      <c r="B151" s="9" t="s">
        <v>36</v>
      </c>
      <c r="C151" s="9" t="s">
        <v>179</v>
      </c>
      <c r="D151" s="9" t="s">
        <v>182</v>
      </c>
      <c r="E151" s="10">
        <v>-5000</v>
      </c>
      <c r="F151" s="10"/>
      <c r="G151" s="8">
        <f>IF(C151=C150,G150,G150+1)</f>
        <v>25</v>
      </c>
    </row>
    <row r="152">
      <c r="A152" s="8">
        <v>2023</v>
      </c>
      <c r="B152" s="9" t="s">
        <v>36</v>
      </c>
      <c r="C152" s="9" t="s">
        <v>179</v>
      </c>
      <c r="D152" s="9" t="s">
        <v>183</v>
      </c>
      <c r="E152" s="10">
        <v>-3600</v>
      </c>
      <c r="F152" s="10"/>
      <c r="G152" s="8">
        <f>IF(C152=C151,G151,G151+1)</f>
        <v>25</v>
      </c>
    </row>
    <row r="153">
      <c r="A153" s="8">
        <v>2023</v>
      </c>
      <c r="B153" s="9" t="s">
        <v>36</v>
      </c>
      <c r="C153" s="9" t="s">
        <v>179</v>
      </c>
      <c r="D153" s="9" t="s">
        <v>184</v>
      </c>
      <c r="E153" s="10">
        <v>-200</v>
      </c>
      <c r="F153" s="10"/>
      <c r="G153" s="8">
        <f>IF(C153=C152,G152,G152+1)</f>
        <v>25</v>
      </c>
    </row>
    <row r="154">
      <c r="A154" s="8">
        <v>2023</v>
      </c>
      <c r="B154" s="9" t="s">
        <v>36</v>
      </c>
      <c r="C154" s="9" t="s">
        <v>179</v>
      </c>
      <c r="D154" s="9" t="s">
        <v>185</v>
      </c>
      <c r="E154" s="10">
        <v>-200</v>
      </c>
      <c r="F154" s="10"/>
      <c r="G154" s="8">
        <f>IF(C154=C153,G153,G153+1)</f>
        <v>25</v>
      </c>
    </row>
    <row r="155">
      <c r="A155" s="8">
        <v>2023</v>
      </c>
      <c r="B155" s="9" t="s">
        <v>36</v>
      </c>
      <c r="C155" s="9" t="s">
        <v>179</v>
      </c>
      <c r="D155" s="9" t="s">
        <v>186</v>
      </c>
      <c r="E155" s="10">
        <v>-1000</v>
      </c>
      <c r="F155" s="10"/>
      <c r="G155" s="8">
        <f>IF(C155=C154,G154,G154+1)</f>
        <v>25</v>
      </c>
    </row>
    <row r="156">
      <c r="A156" s="8">
        <v>2023</v>
      </c>
      <c r="B156" s="9" t="s">
        <v>36</v>
      </c>
      <c r="C156" s="9" t="s">
        <v>179</v>
      </c>
      <c r="D156" s="9" t="s">
        <v>187</v>
      </c>
      <c r="E156" s="10">
        <v>-200</v>
      </c>
      <c r="F156" s="10"/>
      <c r="G156" s="8">
        <f>IF(C156=C155,G155,G155+1)</f>
        <v>25</v>
      </c>
    </row>
    <row r="157">
      <c r="A157" s="8">
        <v>2023</v>
      </c>
      <c r="B157" s="9" t="s">
        <v>36</v>
      </c>
      <c r="C157" s="9" t="s">
        <v>179</v>
      </c>
      <c r="D157" s="9" t="s">
        <v>188</v>
      </c>
      <c r="E157" s="10">
        <v>-200</v>
      </c>
      <c r="F157" s="10"/>
      <c r="G157" s="8">
        <f>IF(C157=C156,G156,G156+1)</f>
        <v>25</v>
      </c>
    </row>
    <row r="158">
      <c r="A158" s="8">
        <v>2023</v>
      </c>
      <c r="B158" s="9" t="s">
        <v>36</v>
      </c>
      <c r="C158" s="9" t="s">
        <v>179</v>
      </c>
      <c r="D158" s="9" t="s">
        <v>189</v>
      </c>
      <c r="E158" s="10">
        <v>-200</v>
      </c>
      <c r="F158" s="10"/>
      <c r="G158" s="8">
        <f>IF(C158=C157,G157,G157+1)</f>
        <v>25</v>
      </c>
    </row>
    <row r="159">
      <c r="A159" s="8">
        <v>2023</v>
      </c>
      <c r="B159" s="9" t="s">
        <v>36</v>
      </c>
      <c r="C159" s="9" t="s">
        <v>179</v>
      </c>
      <c r="D159" s="9" t="s">
        <v>190</v>
      </c>
      <c r="E159" s="10">
        <v>-2400</v>
      </c>
      <c r="F159" s="10"/>
      <c r="G159" s="8">
        <f>IF(C159=C158,G158,G158+1)</f>
        <v>25</v>
      </c>
    </row>
    <row r="160">
      <c r="A160" s="8">
        <v>2023</v>
      </c>
      <c r="B160" s="9" t="s">
        <v>36</v>
      </c>
      <c r="C160" s="9" t="s">
        <v>179</v>
      </c>
      <c r="D160" s="9" t="s">
        <v>191</v>
      </c>
      <c r="E160" s="10">
        <v>-300</v>
      </c>
      <c r="F160" s="10"/>
      <c r="G160" s="8">
        <f>IF(C160=C159,G159,G159+1)</f>
        <v>25</v>
      </c>
    </row>
    <row r="161">
      <c r="A161" s="8">
        <v>2023</v>
      </c>
      <c r="B161" s="9" t="s">
        <v>36</v>
      </c>
      <c r="C161" s="9" t="s">
        <v>179</v>
      </c>
      <c r="D161" s="9" t="s">
        <v>192</v>
      </c>
      <c r="E161" s="10">
        <v>-200</v>
      </c>
      <c r="F161" s="10"/>
      <c r="G161" s="8">
        <f>IF(C161=C160,G160,G160+1)</f>
        <v>25</v>
      </c>
    </row>
    <row r="162">
      <c r="A162" s="8">
        <v>2023</v>
      </c>
      <c r="B162" s="9" t="s">
        <v>36</v>
      </c>
      <c r="C162" s="9" t="s">
        <v>179</v>
      </c>
      <c r="D162" s="9" t="s">
        <v>193</v>
      </c>
      <c r="E162" s="10">
        <v>-100</v>
      </c>
      <c r="F162" s="10"/>
      <c r="G162" s="8">
        <f>IF(C162=C161,G161,G161+1)</f>
        <v>25</v>
      </c>
    </row>
    <row r="163">
      <c r="A163" s="8">
        <v>2023</v>
      </c>
      <c r="B163" s="9" t="s">
        <v>36</v>
      </c>
      <c r="C163" s="9" t="s">
        <v>179</v>
      </c>
      <c r="D163" s="9" t="s">
        <v>194</v>
      </c>
      <c r="E163" s="10">
        <v>-9000</v>
      </c>
      <c r="F163" s="10"/>
      <c r="G163" s="8">
        <f>IF(C163=C162,G162,G162+1)</f>
        <v>25</v>
      </c>
    </row>
    <row r="164">
      <c r="A164" s="8">
        <v>2023</v>
      </c>
      <c r="B164" s="9" t="s">
        <v>36</v>
      </c>
      <c r="C164" s="9" t="s">
        <v>179</v>
      </c>
      <c r="D164" s="9" t="s">
        <v>195</v>
      </c>
      <c r="E164" s="10">
        <v>0</v>
      </c>
      <c r="F164" s="10"/>
      <c r="G164" s="8">
        <f>IF(C164=C163,G163,G163+1)</f>
        <v>25</v>
      </c>
    </row>
    <row r="165">
      <c r="A165" s="8">
        <v>2023</v>
      </c>
      <c r="B165" s="9" t="s">
        <v>36</v>
      </c>
      <c r="C165" s="9" t="s">
        <v>179</v>
      </c>
      <c r="D165" s="9" t="s">
        <v>195</v>
      </c>
      <c r="E165" s="10">
        <v>-1100</v>
      </c>
      <c r="F165" s="10"/>
      <c r="G165" s="8">
        <f>IF(C165=C164,G164,G164+1)</f>
        <v>25</v>
      </c>
    </row>
    <row r="166">
      <c r="A166" s="8">
        <v>2023</v>
      </c>
      <c r="B166" s="9" t="s">
        <v>36</v>
      </c>
      <c r="C166" s="9" t="s">
        <v>179</v>
      </c>
      <c r="D166" s="9" t="s">
        <v>196</v>
      </c>
      <c r="E166" s="10">
        <v>0</v>
      </c>
      <c r="F166" s="10"/>
      <c r="G166" s="8">
        <f>IF(C166=C165,G165,G165+1)</f>
        <v>25</v>
      </c>
    </row>
    <row r="167">
      <c r="A167" s="8">
        <v>2023</v>
      </c>
      <c r="B167" s="9" t="s">
        <v>36</v>
      </c>
      <c r="C167" s="9" t="s">
        <v>179</v>
      </c>
      <c r="D167" s="9" t="s">
        <v>196</v>
      </c>
      <c r="E167" s="10">
        <v>-5000</v>
      </c>
      <c r="F167" s="10"/>
      <c r="G167" s="8">
        <f>IF(C167=C166,G166,G166+1)</f>
        <v>25</v>
      </c>
    </row>
    <row r="168">
      <c r="A168" s="8">
        <v>2023</v>
      </c>
      <c r="B168" s="9" t="s">
        <v>36</v>
      </c>
      <c r="C168" s="9" t="s">
        <v>179</v>
      </c>
      <c r="D168" s="9" t="s">
        <v>197</v>
      </c>
      <c r="E168" s="10">
        <v>-13000</v>
      </c>
      <c r="F168" s="10"/>
      <c r="G168" s="8">
        <f>IF(C168=C167,G167,G167+1)</f>
        <v>25</v>
      </c>
    </row>
    <row r="169">
      <c r="A169" s="8">
        <v>2023</v>
      </c>
      <c r="B169" s="9" t="s">
        <v>36</v>
      </c>
      <c r="C169" s="9" t="s">
        <v>179</v>
      </c>
      <c r="D169" s="9" t="s">
        <v>198</v>
      </c>
      <c r="E169" s="10">
        <v>-3000</v>
      </c>
      <c r="F169" s="10"/>
      <c r="G169" s="8">
        <f>IF(C169=C168,G168,G168+1)</f>
        <v>25</v>
      </c>
    </row>
    <row r="170">
      <c r="A170" s="8">
        <v>2023</v>
      </c>
      <c r="B170" s="9" t="s">
        <v>36</v>
      </c>
      <c r="C170" s="9" t="s">
        <v>179</v>
      </c>
      <c r="D170" s="9" t="s">
        <v>199</v>
      </c>
      <c r="E170" s="10">
        <v>-1500</v>
      </c>
      <c r="F170" s="10"/>
      <c r="G170" s="8">
        <f>IF(C170=C169,G169,G169+1)</f>
        <v>25</v>
      </c>
    </row>
    <row r="171">
      <c r="A171" s="8">
        <v>2023</v>
      </c>
      <c r="B171" s="9" t="s">
        <v>36</v>
      </c>
      <c r="C171" s="9" t="s">
        <v>179</v>
      </c>
      <c r="D171" s="9" t="s">
        <v>200</v>
      </c>
      <c r="E171" s="10">
        <v>-200</v>
      </c>
      <c r="F171" s="10"/>
      <c r="G171" s="8">
        <f>IF(C171=C170,G170,G170+1)</f>
        <v>25</v>
      </c>
    </row>
    <row r="172">
      <c r="A172" s="8">
        <v>2023</v>
      </c>
      <c r="B172" s="9" t="s">
        <v>36</v>
      </c>
      <c r="C172" s="9" t="s">
        <v>179</v>
      </c>
      <c r="D172" s="9" t="s">
        <v>201</v>
      </c>
      <c r="E172" s="10">
        <v>-1300</v>
      </c>
      <c r="F172" s="10"/>
      <c r="G172" s="8">
        <f>IF(C172=C171,G171,G171+1)</f>
        <v>25</v>
      </c>
    </row>
    <row r="173">
      <c r="A173" s="8">
        <v>2023</v>
      </c>
      <c r="B173" s="9" t="s">
        <v>36</v>
      </c>
      <c r="C173" s="9" t="s">
        <v>179</v>
      </c>
      <c r="D173" s="9" t="s">
        <v>202</v>
      </c>
      <c r="E173" s="10">
        <v>-2000</v>
      </c>
      <c r="F173" s="10"/>
      <c r="G173" s="8">
        <f>IF(C173=C172,G172,G172+1)</f>
        <v>25</v>
      </c>
    </row>
    <row r="174">
      <c r="A174" s="8">
        <v>2023</v>
      </c>
      <c r="B174" s="9" t="s">
        <v>36</v>
      </c>
      <c r="C174" s="9" t="s">
        <v>179</v>
      </c>
      <c r="D174" s="9" t="s">
        <v>203</v>
      </c>
      <c r="E174" s="10">
        <v>-910</v>
      </c>
      <c r="F174" s="10"/>
      <c r="G174" s="8">
        <f>IF(C174=C173,G173,G173+1)</f>
        <v>25</v>
      </c>
    </row>
    <row r="175">
      <c r="A175" s="8">
        <v>2023</v>
      </c>
      <c r="B175" s="9" t="s">
        <v>36</v>
      </c>
      <c r="C175" s="9" t="s">
        <v>204</v>
      </c>
      <c r="D175" s="9" t="s">
        <v>205</v>
      </c>
      <c r="E175" s="10">
        <v>-3786</v>
      </c>
      <c r="F175" s="10"/>
      <c r="G175" s="8">
        <f>IF(C175=C174,G174,G174+1)</f>
        <v>26</v>
      </c>
    </row>
    <row r="176">
      <c r="A176" s="8">
        <v>2023</v>
      </c>
      <c r="B176" s="9" t="s">
        <v>36</v>
      </c>
      <c r="C176" s="9" t="s">
        <v>204</v>
      </c>
      <c r="D176" s="9" t="s">
        <v>206</v>
      </c>
      <c r="E176" s="10">
        <v>-49502</v>
      </c>
      <c r="F176" s="10"/>
      <c r="G176" s="8">
        <f>IF(C176=C175,G175,G175+1)</f>
        <v>26</v>
      </c>
    </row>
    <row r="177">
      <c r="A177" s="8">
        <v>2023</v>
      </c>
      <c r="B177" s="9" t="s">
        <v>36</v>
      </c>
      <c r="C177" s="9" t="s">
        <v>204</v>
      </c>
      <c r="D177" s="9" t="s">
        <v>207</v>
      </c>
      <c r="E177" s="10">
        <v>-1000</v>
      </c>
      <c r="F177" s="10"/>
      <c r="G177" s="8">
        <f>IF(C177=C176,G176,G176+1)</f>
        <v>26</v>
      </c>
    </row>
    <row r="178">
      <c r="A178" s="8">
        <v>2023</v>
      </c>
      <c r="B178" s="9" t="s">
        <v>36</v>
      </c>
      <c r="C178" s="9" t="s">
        <v>208</v>
      </c>
      <c r="D178" s="9" t="s">
        <v>209</v>
      </c>
      <c r="E178" s="10">
        <v>-2200</v>
      </c>
      <c r="F178" s="10"/>
      <c r="G178" s="8">
        <f>IF(C178=C177,G177,G177+1)</f>
        <v>27</v>
      </c>
    </row>
    <row r="179">
      <c r="A179" s="8">
        <v>2023</v>
      </c>
      <c r="B179" s="9" t="s">
        <v>36</v>
      </c>
      <c r="C179" s="9" t="s">
        <v>208</v>
      </c>
      <c r="D179" s="9" t="s">
        <v>210</v>
      </c>
      <c r="E179" s="10">
        <v>-57500</v>
      </c>
      <c r="F179" s="10"/>
      <c r="G179" s="8">
        <f>IF(C179=C178,G178,G178+1)</f>
        <v>27</v>
      </c>
    </row>
    <row r="180">
      <c r="A180" s="8">
        <v>2023</v>
      </c>
      <c r="B180" s="9" t="s">
        <v>36</v>
      </c>
      <c r="C180" s="9" t="s">
        <v>208</v>
      </c>
      <c r="D180" s="9" t="s">
        <v>211</v>
      </c>
      <c r="E180" s="10">
        <v>-10000</v>
      </c>
      <c r="F180" s="10"/>
      <c r="G180" s="8">
        <f>IF(C180=C179,G179,G179+1)</f>
        <v>27</v>
      </c>
    </row>
    <row r="181">
      <c r="A181" s="8">
        <v>2023</v>
      </c>
      <c r="B181" s="9" t="s">
        <v>36</v>
      </c>
      <c r="C181" s="9" t="s">
        <v>208</v>
      </c>
      <c r="D181" s="9" t="s">
        <v>212</v>
      </c>
      <c r="E181" s="10">
        <v>-13300</v>
      </c>
      <c r="F181" s="10"/>
      <c r="G181" s="8">
        <f>IF(C181=C180,G180,G180+1)</f>
        <v>27</v>
      </c>
    </row>
    <row r="182">
      <c r="A182" s="8">
        <v>2023</v>
      </c>
      <c r="B182" s="9" t="s">
        <v>36</v>
      </c>
      <c r="C182" s="9" t="s">
        <v>208</v>
      </c>
      <c r="D182" s="9" t="s">
        <v>213</v>
      </c>
      <c r="E182" s="10">
        <v>-7268</v>
      </c>
      <c r="F182" s="10"/>
      <c r="G182" s="8">
        <f>IF(C182=C181,G181,G181+1)</f>
        <v>27</v>
      </c>
    </row>
    <row r="183">
      <c r="A183" s="8">
        <v>2023</v>
      </c>
      <c r="B183" s="9" t="s">
        <v>36</v>
      </c>
      <c r="C183" s="9" t="s">
        <v>208</v>
      </c>
      <c r="D183" s="9" t="s">
        <v>214</v>
      </c>
      <c r="E183" s="10">
        <v>-5000</v>
      </c>
      <c r="F183" s="10"/>
      <c r="G183" s="8">
        <f>IF(C183=C182,G182,G182+1)</f>
        <v>27</v>
      </c>
    </row>
    <row r="184">
      <c r="A184" s="8">
        <v>2023</v>
      </c>
      <c r="B184" s="9" t="s">
        <v>36</v>
      </c>
      <c r="C184" s="9" t="s">
        <v>208</v>
      </c>
      <c r="D184" s="9" t="s">
        <v>215</v>
      </c>
      <c r="E184" s="10">
        <v>-37500</v>
      </c>
      <c r="F184" s="10"/>
      <c r="G184" s="8">
        <f>IF(C184=C183,G183,G183+1)</f>
        <v>27</v>
      </c>
    </row>
    <row r="185">
      <c r="A185" s="8">
        <v>2023</v>
      </c>
      <c r="B185" s="9" t="s">
        <v>36</v>
      </c>
      <c r="C185" s="9" t="s">
        <v>208</v>
      </c>
      <c r="D185" s="9" t="s">
        <v>216</v>
      </c>
      <c r="E185" s="10">
        <v>-1425</v>
      </c>
      <c r="F185" s="10"/>
      <c r="G185" s="8">
        <f>IF(C185=C184,G184,G184+1)</f>
        <v>27</v>
      </c>
    </row>
    <row r="186">
      <c r="A186" s="8">
        <v>2023</v>
      </c>
      <c r="B186" s="9" t="s">
        <v>36</v>
      </c>
      <c r="C186" s="9" t="s">
        <v>217</v>
      </c>
      <c r="D186" s="9" t="s">
        <v>218</v>
      </c>
      <c r="E186" s="10">
        <v>0</v>
      </c>
      <c r="F186" s="10"/>
      <c r="G186" s="8">
        <f>IF(C186=C185,G185,G185+1)</f>
        <v>28</v>
      </c>
    </row>
    <row r="187">
      <c r="A187" s="8">
        <v>2023</v>
      </c>
      <c r="B187" s="9" t="s">
        <v>36</v>
      </c>
      <c r="C187" s="9" t="s">
        <v>217</v>
      </c>
      <c r="D187" s="9" t="s">
        <v>219</v>
      </c>
      <c r="E187" s="10">
        <v>-200</v>
      </c>
      <c r="F187" s="10"/>
      <c r="G187" s="8">
        <f>IF(C187=C186,G186,G186+1)</f>
        <v>28</v>
      </c>
    </row>
    <row r="188">
      <c r="A188" s="8">
        <v>2023</v>
      </c>
      <c r="B188" s="9" t="s">
        <v>36</v>
      </c>
      <c r="C188" s="9" t="s">
        <v>217</v>
      </c>
      <c r="D188" s="9" t="s">
        <v>220</v>
      </c>
      <c r="E188" s="10">
        <v>-250</v>
      </c>
      <c r="F188" s="10"/>
      <c r="G188" s="8">
        <f>IF(C188=C187,G187,G187+1)</f>
        <v>28</v>
      </c>
      <c r="I188" s="11"/>
    </row>
    <row r="189">
      <c r="A189" s="8">
        <v>2023</v>
      </c>
      <c r="B189" s="9" t="s">
        <v>36</v>
      </c>
      <c r="C189" s="9" t="s">
        <v>217</v>
      </c>
      <c r="D189" s="9" t="s">
        <v>221</v>
      </c>
      <c r="E189" s="10">
        <v>0</v>
      </c>
      <c r="F189" s="10"/>
      <c r="G189" s="8">
        <f>IF(C189=C188,G188,G188+1)</f>
        <v>28</v>
      </c>
    </row>
    <row r="190">
      <c r="A190" s="8">
        <v>2023</v>
      </c>
      <c r="B190" s="9" t="s">
        <v>36</v>
      </c>
      <c r="C190" s="9" t="s">
        <v>217</v>
      </c>
      <c r="D190" s="9" t="s">
        <v>222</v>
      </c>
      <c r="E190" s="10">
        <v>-1300</v>
      </c>
      <c r="F190" s="10"/>
      <c r="G190" s="8">
        <f>IF(C190=C189,G189,G189+1)</f>
        <v>28</v>
      </c>
    </row>
    <row r="191">
      <c r="A191" s="8">
        <v>2023</v>
      </c>
      <c r="B191" s="9" t="s">
        <v>36</v>
      </c>
      <c r="C191" s="9" t="s">
        <v>217</v>
      </c>
      <c r="D191" s="9" t="s">
        <v>223</v>
      </c>
      <c r="E191" s="10">
        <v>-3000</v>
      </c>
      <c r="F191" s="10"/>
      <c r="G191" s="8">
        <f>IF(C191=C190,G190,G190+1)</f>
        <v>28</v>
      </c>
    </row>
    <row r="192">
      <c r="A192" s="8">
        <v>2023</v>
      </c>
      <c r="B192" s="9" t="s">
        <v>36</v>
      </c>
      <c r="C192" s="9" t="s">
        <v>217</v>
      </c>
      <c r="D192" s="9" t="s">
        <v>224</v>
      </c>
      <c r="E192" s="10">
        <v>-1400</v>
      </c>
      <c r="F192" s="10"/>
      <c r="G192" s="8">
        <f>IF(C192=C191,G191,G191+1)</f>
        <v>28</v>
      </c>
    </row>
    <row r="193">
      <c r="A193" s="8">
        <v>2023</v>
      </c>
      <c r="B193" s="9" t="s">
        <v>36</v>
      </c>
      <c r="C193" s="9" t="s">
        <v>217</v>
      </c>
      <c r="D193" s="9" t="s">
        <v>225</v>
      </c>
      <c r="E193" s="10">
        <v>-200</v>
      </c>
      <c r="F193" s="10"/>
      <c r="G193" s="8">
        <f>IF(C193=C192,G192,G192+1)</f>
        <v>28</v>
      </c>
    </row>
    <row r="194">
      <c r="A194" s="8">
        <v>2023</v>
      </c>
      <c r="B194" s="9" t="s">
        <v>36</v>
      </c>
      <c r="C194" s="9" t="s">
        <v>217</v>
      </c>
      <c r="D194" s="9" t="s">
        <v>226</v>
      </c>
      <c r="E194" s="10">
        <v>-300</v>
      </c>
      <c r="F194" s="10"/>
      <c r="G194" s="8">
        <f>IF(C194=C193,G193,G193+1)</f>
        <v>28</v>
      </c>
    </row>
    <row r="195">
      <c r="A195" s="8">
        <v>2023</v>
      </c>
      <c r="B195" s="9" t="s">
        <v>36</v>
      </c>
      <c r="C195" s="9" t="s">
        <v>217</v>
      </c>
      <c r="D195" s="9" t="s">
        <v>227</v>
      </c>
      <c r="E195" s="10">
        <v>-3500</v>
      </c>
      <c r="F195" s="10"/>
      <c r="G195" s="8">
        <f>IF(C195=C194,G194,G194+1)</f>
        <v>28</v>
      </c>
    </row>
    <row r="196">
      <c r="A196" s="8">
        <v>2023</v>
      </c>
      <c r="B196" s="9" t="s">
        <v>36</v>
      </c>
      <c r="C196" s="9" t="s">
        <v>217</v>
      </c>
      <c r="D196" s="9" t="s">
        <v>228</v>
      </c>
      <c r="E196" s="10">
        <v>-150</v>
      </c>
      <c r="F196" s="10"/>
      <c r="G196" s="8">
        <f>IF(C196=C195,G195,G195+1)</f>
        <v>28</v>
      </c>
    </row>
    <row r="197">
      <c r="A197" s="8">
        <v>2023</v>
      </c>
      <c r="B197" s="9" t="s">
        <v>36</v>
      </c>
      <c r="C197" s="9" t="s">
        <v>217</v>
      </c>
      <c r="D197" s="9" t="s">
        <v>229</v>
      </c>
      <c r="E197" s="10">
        <v>-200</v>
      </c>
      <c r="F197" s="10"/>
      <c r="G197" s="8">
        <f>IF(C197=C196,G196,G196+1)</f>
        <v>28</v>
      </c>
    </row>
    <row r="198">
      <c r="A198" s="8">
        <v>2023</v>
      </c>
      <c r="B198" s="9" t="s">
        <v>36</v>
      </c>
      <c r="C198" s="9" t="s">
        <v>217</v>
      </c>
      <c r="D198" s="9" t="s">
        <v>230</v>
      </c>
      <c r="E198" s="10">
        <v>-300</v>
      </c>
      <c r="F198" s="10"/>
      <c r="G198" s="8">
        <f>IF(C198=C197,G197,G197+1)</f>
        <v>28</v>
      </c>
    </row>
    <row r="199">
      <c r="A199" s="8">
        <v>2023</v>
      </c>
      <c r="B199" s="9" t="s">
        <v>36</v>
      </c>
      <c r="C199" s="9" t="s">
        <v>217</v>
      </c>
      <c r="D199" s="9" t="s">
        <v>231</v>
      </c>
      <c r="E199" s="10">
        <v>-200</v>
      </c>
      <c r="F199" s="10"/>
      <c r="G199" s="8">
        <f>IF(C199=C198,G198,G198+1)</f>
        <v>28</v>
      </c>
    </row>
    <row r="200">
      <c r="A200" s="8">
        <v>2023</v>
      </c>
      <c r="B200" s="9" t="s">
        <v>36</v>
      </c>
      <c r="C200" s="9" t="s">
        <v>217</v>
      </c>
      <c r="D200" s="9" t="s">
        <v>232</v>
      </c>
      <c r="E200" s="10">
        <v>-800</v>
      </c>
      <c r="F200" s="10"/>
      <c r="G200" s="8">
        <f>IF(C200=C199,G199,G199+1)</f>
        <v>28</v>
      </c>
    </row>
    <row r="201">
      <c r="A201" s="8">
        <v>2023</v>
      </c>
      <c r="B201" s="9" t="s">
        <v>36</v>
      </c>
      <c r="C201" s="9" t="s">
        <v>233</v>
      </c>
      <c r="D201" s="9" t="s">
        <v>234</v>
      </c>
      <c r="E201" s="10">
        <v>-3596</v>
      </c>
      <c r="F201" s="10"/>
      <c r="G201" s="8">
        <f>IF(C201=C200,G200,G200+1)</f>
        <v>29</v>
      </c>
    </row>
    <row r="202">
      <c r="A202" s="8">
        <v>2023</v>
      </c>
      <c r="B202" s="9" t="s">
        <v>36</v>
      </c>
      <c r="C202" s="9" t="s">
        <v>233</v>
      </c>
      <c r="D202" s="9" t="s">
        <v>235</v>
      </c>
      <c r="E202" s="10">
        <v>-47000</v>
      </c>
      <c r="F202" s="10"/>
      <c r="G202" s="8">
        <f>IF(C202=C201,G201,G201+1)</f>
        <v>29</v>
      </c>
    </row>
    <row r="203">
      <c r="A203" s="8">
        <v>2023</v>
      </c>
      <c r="B203" s="9" t="s">
        <v>36</v>
      </c>
      <c r="C203" s="9" t="s">
        <v>233</v>
      </c>
      <c r="D203" s="9" t="s">
        <v>236</v>
      </c>
      <c r="E203" s="10">
        <v>-1880</v>
      </c>
      <c r="F203" s="10"/>
      <c r="G203" s="8">
        <f>IF(C203=C202,G202,G202+1)</f>
        <v>29</v>
      </c>
    </row>
    <row r="204">
      <c r="A204" s="8">
        <v>2023</v>
      </c>
      <c r="B204" s="9" t="s">
        <v>36</v>
      </c>
      <c r="C204" s="9" t="s">
        <v>233</v>
      </c>
      <c r="D204" s="9" t="s">
        <v>237</v>
      </c>
      <c r="E204" s="10">
        <v>-1000</v>
      </c>
      <c r="F204" s="10"/>
      <c r="G204" s="8">
        <f>IF(C204=C203,G203,G203+1)</f>
        <v>29</v>
      </c>
    </row>
    <row r="205">
      <c r="A205" s="8">
        <v>2024</v>
      </c>
      <c r="B205" s="12" t="s">
        <v>6</v>
      </c>
      <c r="C205" s="12" t="s">
        <v>238</v>
      </c>
      <c r="D205" s="12" t="s">
        <v>8</v>
      </c>
      <c r="E205" s="13">
        <v>14000</v>
      </c>
      <c r="F205" s="13"/>
      <c r="G205" s="8">
        <f>IF(C205=C204,G204,G204+1)</f>
        <v>30</v>
      </c>
    </row>
    <row r="206">
      <c r="A206" s="8">
        <v>2024</v>
      </c>
      <c r="B206" s="12" t="s">
        <v>6</v>
      </c>
      <c r="C206" s="12" t="s">
        <v>239</v>
      </c>
      <c r="D206" s="12" t="s">
        <v>9</v>
      </c>
      <c r="E206" s="13">
        <v>369050.00000000012</v>
      </c>
      <c r="F206" s="13"/>
      <c r="G206" s="8">
        <f>IF(C206=C205,G205,G205+1)</f>
        <v>31</v>
      </c>
    </row>
    <row r="207">
      <c r="A207" s="8">
        <v>2024</v>
      </c>
      <c r="B207" s="12" t="s">
        <v>6</v>
      </c>
      <c r="C207" s="12" t="s">
        <v>239</v>
      </c>
      <c r="D207" s="12" t="s">
        <v>10</v>
      </c>
      <c r="E207" s="13">
        <v>8000</v>
      </c>
      <c r="F207" s="13"/>
      <c r="G207" s="8">
        <f>IF(C207=C206,G206,G206+1)</f>
        <v>31</v>
      </c>
    </row>
    <row r="208">
      <c r="A208" s="8">
        <v>2024</v>
      </c>
      <c r="B208" s="12" t="s">
        <v>6</v>
      </c>
      <c r="C208" s="12" t="s">
        <v>239</v>
      </c>
      <c r="D208" s="12" t="s">
        <v>11</v>
      </c>
      <c r="E208" s="13">
        <v>10000</v>
      </c>
      <c r="F208" s="13"/>
      <c r="G208" s="8">
        <f>IF(C208=C207,G207,G207+1)</f>
        <v>31</v>
      </c>
    </row>
    <row r="209">
      <c r="A209" s="8">
        <v>2024</v>
      </c>
      <c r="B209" s="8" t="s">
        <v>6</v>
      </c>
      <c r="C209" s="12" t="s">
        <v>239</v>
      </c>
      <c r="D209" s="12" t="s">
        <v>240</v>
      </c>
      <c r="E209" s="13">
        <v>3000</v>
      </c>
      <c r="F209" s="13"/>
      <c r="G209" s="8">
        <f>IF(C209=C208,G208,G208+1)</f>
        <v>31</v>
      </c>
    </row>
    <row r="210">
      <c r="A210" s="8">
        <v>2024</v>
      </c>
      <c r="B210" s="12" t="s">
        <v>6</v>
      </c>
      <c r="C210" s="12" t="s">
        <v>239</v>
      </c>
      <c r="D210" s="12" t="s">
        <v>241</v>
      </c>
      <c r="E210" s="13">
        <v>3000</v>
      </c>
      <c r="F210" s="13"/>
      <c r="G210" s="8">
        <f>IF(C210=C209,G209,G209+1)</f>
        <v>31</v>
      </c>
    </row>
    <row r="211">
      <c r="A211" s="8">
        <v>2024</v>
      </c>
      <c r="B211" s="12" t="s">
        <v>6</v>
      </c>
      <c r="C211" s="12" t="s">
        <v>239</v>
      </c>
      <c r="D211" s="12" t="s">
        <v>242</v>
      </c>
      <c r="E211" s="13">
        <v>3000</v>
      </c>
      <c r="F211" s="13"/>
      <c r="G211" s="8">
        <f>IF(C211=C210,G210,G210+1)</f>
        <v>31</v>
      </c>
    </row>
    <row r="212" ht="12.75">
      <c r="A212" s="8">
        <v>2024</v>
      </c>
      <c r="B212" s="12" t="s">
        <v>6</v>
      </c>
      <c r="C212" s="12" t="s">
        <v>239</v>
      </c>
      <c r="D212" s="12" t="s">
        <v>12</v>
      </c>
      <c r="E212" s="13">
        <v>1000</v>
      </c>
      <c r="F212" s="13"/>
      <c r="G212" s="8">
        <f>IF(C212=C211,G211,G211+1)</f>
        <v>31</v>
      </c>
    </row>
    <row r="213" ht="12.75">
      <c r="A213" s="8">
        <v>2024</v>
      </c>
      <c r="B213" s="12" t="s">
        <v>6</v>
      </c>
      <c r="C213" s="12" t="s">
        <v>239</v>
      </c>
      <c r="D213" s="12" t="s">
        <v>13</v>
      </c>
      <c r="E213" s="13">
        <v>32500</v>
      </c>
      <c r="F213" s="13"/>
      <c r="G213" s="8">
        <f>IF(C213=C212,G212,G212+1)</f>
        <v>31</v>
      </c>
    </row>
    <row r="214" ht="12.75">
      <c r="A214" s="8">
        <v>2024</v>
      </c>
      <c r="B214" s="12" t="s">
        <v>6</v>
      </c>
      <c r="C214" s="12" t="s">
        <v>239</v>
      </c>
      <c r="D214" s="12" t="s">
        <v>17</v>
      </c>
      <c r="E214" s="13">
        <v>10000</v>
      </c>
      <c r="F214" s="13"/>
      <c r="G214" s="8">
        <f>IF(C214=C213,G213,G213+1)</f>
        <v>31</v>
      </c>
    </row>
    <row r="215" ht="12.75">
      <c r="A215" s="8">
        <v>2024</v>
      </c>
      <c r="B215" s="12" t="s">
        <v>6</v>
      </c>
      <c r="C215" s="12" t="s">
        <v>239</v>
      </c>
      <c r="D215" s="12" t="s">
        <v>243</v>
      </c>
      <c r="E215" s="13">
        <v>200</v>
      </c>
      <c r="F215" s="13"/>
      <c r="G215" s="8">
        <f>IF(C215=C214,G214,G214+1)</f>
        <v>31</v>
      </c>
    </row>
    <row r="216" ht="12.75">
      <c r="A216" s="8">
        <v>2024</v>
      </c>
      <c r="B216" s="12" t="s">
        <v>6</v>
      </c>
      <c r="C216" s="12" t="s">
        <v>239</v>
      </c>
      <c r="D216" s="12" t="s">
        <v>244</v>
      </c>
      <c r="E216" s="13">
        <v>9000</v>
      </c>
      <c r="F216" s="13"/>
      <c r="G216" s="8">
        <f>IF(C216=C215,G215,G215+1)</f>
        <v>31</v>
      </c>
    </row>
    <row r="217" ht="12.75">
      <c r="A217" s="8">
        <v>2024</v>
      </c>
      <c r="B217" s="12" t="s">
        <v>6</v>
      </c>
      <c r="C217" s="12" t="s">
        <v>239</v>
      </c>
      <c r="D217" s="12" t="s">
        <v>15</v>
      </c>
      <c r="E217" s="13">
        <v>0</v>
      </c>
      <c r="F217" s="13"/>
      <c r="G217" s="8">
        <f>IF(C217=C216,G216,G216+1)</f>
        <v>31</v>
      </c>
    </row>
    <row r="218" ht="12.75">
      <c r="A218" s="8">
        <v>2024</v>
      </c>
      <c r="B218" s="12" t="s">
        <v>6</v>
      </c>
      <c r="C218" s="12" t="s">
        <v>245</v>
      </c>
      <c r="D218" s="12" t="s">
        <v>24</v>
      </c>
      <c r="E218" s="13">
        <v>234561</v>
      </c>
      <c r="F218" s="13"/>
      <c r="G218" s="8">
        <f>IF(C218=C217,G217,G217+1)</f>
        <v>32</v>
      </c>
    </row>
    <row r="219" ht="12.75">
      <c r="A219" s="8">
        <v>2024</v>
      </c>
      <c r="B219" s="12" t="s">
        <v>6</v>
      </c>
      <c r="C219" s="12" t="s">
        <v>245</v>
      </c>
      <c r="D219" s="12" t="s">
        <v>246</v>
      </c>
      <c r="E219" s="13">
        <v>0</v>
      </c>
      <c r="F219" s="13"/>
      <c r="G219" s="8">
        <f>IF(C219=C218,G218,G218+1)</f>
        <v>32</v>
      </c>
    </row>
    <row r="220" ht="12.75">
      <c r="A220" s="8">
        <v>2024</v>
      </c>
      <c r="B220" s="12" t="s">
        <v>6</v>
      </c>
      <c r="C220" s="12" t="s">
        <v>245</v>
      </c>
      <c r="D220" s="12" t="s">
        <v>25</v>
      </c>
      <c r="E220" s="13">
        <v>140000</v>
      </c>
      <c r="F220" s="13"/>
      <c r="G220" s="8">
        <f>IF(C220=C219,G219,G219+1)</f>
        <v>32</v>
      </c>
    </row>
    <row r="221" ht="12.75">
      <c r="A221" s="8">
        <v>2024</v>
      </c>
      <c r="B221" s="12" t="s">
        <v>6</v>
      </c>
      <c r="C221" s="12" t="s">
        <v>245</v>
      </c>
      <c r="D221" s="12" t="s">
        <v>26</v>
      </c>
      <c r="E221" s="13">
        <v>17000</v>
      </c>
      <c r="F221" s="13"/>
      <c r="G221" s="8">
        <f>IF(C221=C220,G220,G220+1)</f>
        <v>32</v>
      </c>
    </row>
    <row r="222" ht="12.75">
      <c r="A222" s="8">
        <v>2024</v>
      </c>
      <c r="B222" s="12" t="s">
        <v>6</v>
      </c>
      <c r="C222" s="12" t="s">
        <v>245</v>
      </c>
      <c r="D222" s="12" t="s">
        <v>27</v>
      </c>
      <c r="E222" s="13">
        <v>34600</v>
      </c>
      <c r="F222" s="13"/>
      <c r="G222" s="8">
        <f>IF(C222=C221,G221,G221+1)</f>
        <v>32</v>
      </c>
    </row>
    <row r="223" ht="12.75">
      <c r="A223" s="8">
        <v>2024</v>
      </c>
      <c r="B223" s="12" t="s">
        <v>6</v>
      </c>
      <c r="C223" s="12" t="s">
        <v>245</v>
      </c>
      <c r="D223" s="12" t="s">
        <v>28</v>
      </c>
      <c r="E223" s="13">
        <v>29577</v>
      </c>
      <c r="F223" s="13"/>
      <c r="G223" s="8">
        <f>IF(C223=C222,G222,G222+1)</f>
        <v>32</v>
      </c>
    </row>
    <row r="224" ht="12.75">
      <c r="A224" s="8">
        <v>2024</v>
      </c>
      <c r="B224" s="12" t="s">
        <v>6</v>
      </c>
      <c r="C224" s="12" t="s">
        <v>247</v>
      </c>
      <c r="D224" s="12" t="s">
        <v>19</v>
      </c>
      <c r="E224" s="13">
        <v>68000</v>
      </c>
      <c r="F224" s="13"/>
      <c r="G224" s="8">
        <f>IF(C224=C223,G223,G223+1)</f>
        <v>33</v>
      </c>
    </row>
    <row r="225" ht="12.75">
      <c r="A225" s="8">
        <v>2024</v>
      </c>
      <c r="B225" s="12" t="s">
        <v>6</v>
      </c>
      <c r="C225" s="12" t="s">
        <v>247</v>
      </c>
      <c r="D225" s="12" t="s">
        <v>20</v>
      </c>
      <c r="E225" s="13">
        <f>152166-15000-2000</f>
        <v>135166</v>
      </c>
      <c r="F225" s="13"/>
      <c r="G225" s="8">
        <f>IF(C225=C224,G224,G224+1)</f>
        <v>33</v>
      </c>
    </row>
    <row r="226" ht="12.75">
      <c r="A226" s="8">
        <v>2024</v>
      </c>
      <c r="B226" s="12" t="s">
        <v>6</v>
      </c>
      <c r="C226" s="12" t="s">
        <v>247</v>
      </c>
      <c r="D226" s="12" t="s">
        <v>21</v>
      </c>
      <c r="E226" s="13">
        <v>100000</v>
      </c>
      <c r="F226" s="13"/>
      <c r="G226" s="8">
        <f>IF(C226=C225,G225,G225+1)</f>
        <v>33</v>
      </c>
    </row>
    <row r="227" ht="12.75">
      <c r="A227" s="8">
        <v>2024</v>
      </c>
      <c r="B227" s="12" t="s">
        <v>6</v>
      </c>
      <c r="C227" s="12" t="s">
        <v>248</v>
      </c>
      <c r="D227" s="12" t="s">
        <v>30</v>
      </c>
      <c r="E227" s="13">
        <v>10000</v>
      </c>
      <c r="F227" s="13"/>
      <c r="G227" s="8">
        <f>IF(C227=C226,G226,G226+1)</f>
        <v>34</v>
      </c>
    </row>
    <row r="228" ht="12.75">
      <c r="A228" s="8">
        <v>2024</v>
      </c>
      <c r="B228" s="12" t="s">
        <v>6</v>
      </c>
      <c r="C228" s="12" t="s">
        <v>248</v>
      </c>
      <c r="D228" s="12" t="s">
        <v>31</v>
      </c>
      <c r="E228" s="13">
        <v>3000</v>
      </c>
      <c r="F228" s="13"/>
      <c r="G228" s="8">
        <f>IF(C228=C227,G227,G227+1)</f>
        <v>34</v>
      </c>
    </row>
    <row r="229" ht="12.75">
      <c r="A229" s="8">
        <v>2024</v>
      </c>
      <c r="B229" s="12" t="s">
        <v>6</v>
      </c>
      <c r="C229" s="12" t="s">
        <v>248</v>
      </c>
      <c r="D229" s="12" t="s">
        <v>32</v>
      </c>
      <c r="E229" s="13">
        <v>18000</v>
      </c>
      <c r="F229" s="13"/>
      <c r="G229" s="8">
        <f>IF(C229=C228,G228,G228+1)</f>
        <v>34</v>
      </c>
    </row>
    <row r="230" ht="12.75">
      <c r="A230" s="8">
        <v>2024</v>
      </c>
      <c r="B230" s="12" t="s">
        <v>6</v>
      </c>
      <c r="C230" s="12" t="s">
        <v>248</v>
      </c>
      <c r="D230" s="12" t="s">
        <v>249</v>
      </c>
      <c r="E230" s="13">
        <v>1100</v>
      </c>
      <c r="F230" s="13"/>
      <c r="G230" s="8">
        <f>IF(C230=C229,G229,G229+1)</f>
        <v>34</v>
      </c>
    </row>
    <row r="231" ht="12.75">
      <c r="A231" s="8">
        <v>2024</v>
      </c>
      <c r="B231" s="12" t="s">
        <v>6</v>
      </c>
      <c r="C231" s="12" t="s">
        <v>248</v>
      </c>
      <c r="D231" s="12" t="s">
        <v>34</v>
      </c>
      <c r="E231" s="13">
        <v>1000</v>
      </c>
      <c r="F231" s="13"/>
      <c r="G231" s="8">
        <f>IF(C231=C230,G230,G230+1)</f>
        <v>34</v>
      </c>
    </row>
    <row r="232" ht="12.75">
      <c r="A232" s="8">
        <v>2024</v>
      </c>
      <c r="B232" s="12" t="s">
        <v>6</v>
      </c>
      <c r="C232" s="12" t="s">
        <v>248</v>
      </c>
      <c r="D232" s="12" t="s">
        <v>250</v>
      </c>
      <c r="E232" s="13">
        <v>5000</v>
      </c>
      <c r="F232" s="13"/>
      <c r="G232" s="8">
        <f>IF(C232=C231,G231,G231+1)</f>
        <v>34</v>
      </c>
    </row>
    <row r="233" ht="12.75">
      <c r="A233" s="8">
        <v>2024</v>
      </c>
      <c r="B233" s="12" t="s">
        <v>36</v>
      </c>
      <c r="C233" s="12" t="s">
        <v>251</v>
      </c>
      <c r="D233" s="12" t="s">
        <v>252</v>
      </c>
      <c r="E233" s="13">
        <v>-18000</v>
      </c>
      <c r="F233" s="13"/>
      <c r="G233" s="8">
        <f>IF(C233=C232,G232,G232+1)</f>
        <v>35</v>
      </c>
    </row>
    <row r="234" ht="12.75">
      <c r="A234" s="8">
        <v>2024</v>
      </c>
      <c r="B234" s="12" t="s">
        <v>36</v>
      </c>
      <c r="C234" s="12" t="s">
        <v>251</v>
      </c>
      <c r="D234" s="12" t="s">
        <v>180</v>
      </c>
      <c r="E234" s="13">
        <v>-200</v>
      </c>
      <c r="F234" s="13"/>
      <c r="G234" s="8">
        <f>IF(C234=C233,G233,G233+1)</f>
        <v>35</v>
      </c>
    </row>
    <row r="235" ht="12.75">
      <c r="A235" s="8">
        <v>2024</v>
      </c>
      <c r="B235" s="12" t="s">
        <v>36</v>
      </c>
      <c r="C235" s="12" t="s">
        <v>251</v>
      </c>
      <c r="D235" s="12" t="s">
        <v>181</v>
      </c>
      <c r="E235" s="13">
        <v>-700</v>
      </c>
      <c r="F235" s="13"/>
      <c r="G235" s="8">
        <f>IF(C235=C234,G234,G234+1)</f>
        <v>35</v>
      </c>
    </row>
    <row r="236" ht="12.75">
      <c r="A236" s="8">
        <v>2024</v>
      </c>
      <c r="B236" s="12" t="s">
        <v>36</v>
      </c>
      <c r="C236" s="12" t="s">
        <v>251</v>
      </c>
      <c r="D236" s="12" t="s">
        <v>182</v>
      </c>
      <c r="E236" s="13">
        <v>-12000</v>
      </c>
      <c r="F236" s="13"/>
      <c r="G236" s="8">
        <f>IF(C236=C235,G235,G235+1)</f>
        <v>35</v>
      </c>
    </row>
    <row r="237" ht="12.75">
      <c r="A237" s="8">
        <v>2024</v>
      </c>
      <c r="B237" s="12" t="s">
        <v>36</v>
      </c>
      <c r="C237" s="12" t="s">
        <v>251</v>
      </c>
      <c r="D237" s="12" t="s">
        <v>183</v>
      </c>
      <c r="E237" s="13">
        <v>-3600</v>
      </c>
      <c r="F237" s="13"/>
      <c r="G237" s="8">
        <f>IF(C237=C236,G236,G236+1)</f>
        <v>35</v>
      </c>
    </row>
    <row r="238" ht="12.75">
      <c r="A238" s="8">
        <v>2024</v>
      </c>
      <c r="B238" s="12" t="s">
        <v>36</v>
      </c>
      <c r="C238" s="12" t="s">
        <v>251</v>
      </c>
      <c r="D238" s="12" t="s">
        <v>184</v>
      </c>
      <c r="E238" s="13">
        <v>-200</v>
      </c>
      <c r="F238" s="13"/>
      <c r="G238" s="8">
        <f>IF(C238=C237,G237,G237+1)</f>
        <v>35</v>
      </c>
    </row>
    <row r="239" ht="12.75">
      <c r="A239" s="8">
        <v>2024</v>
      </c>
      <c r="B239" s="12" t="s">
        <v>36</v>
      </c>
      <c r="C239" s="12" t="s">
        <v>251</v>
      </c>
      <c r="D239" s="12" t="s">
        <v>185</v>
      </c>
      <c r="E239" s="13">
        <v>-200</v>
      </c>
      <c r="F239" s="13"/>
      <c r="G239" s="8">
        <f>IF(C239=C238,G238,G238+1)</f>
        <v>35</v>
      </c>
    </row>
    <row r="240" ht="12.75">
      <c r="A240" s="8">
        <v>2024</v>
      </c>
      <c r="B240" s="12" t="s">
        <v>36</v>
      </c>
      <c r="C240" s="12" t="s">
        <v>251</v>
      </c>
      <c r="D240" s="12" t="s">
        <v>186</v>
      </c>
      <c r="E240" s="13">
        <v>-1000</v>
      </c>
      <c r="F240" s="13"/>
      <c r="G240" s="8">
        <f>IF(C240=C239,G239,G239+1)</f>
        <v>35</v>
      </c>
    </row>
    <row r="241" ht="12.75">
      <c r="A241" s="8">
        <v>2024</v>
      </c>
      <c r="B241" s="12" t="s">
        <v>36</v>
      </c>
      <c r="C241" s="12" t="s">
        <v>251</v>
      </c>
      <c r="D241" s="12" t="s">
        <v>187</v>
      </c>
      <c r="E241" s="13">
        <v>-200</v>
      </c>
      <c r="F241" s="13"/>
      <c r="G241" s="8">
        <f>IF(C241=C240,G240,G240+1)</f>
        <v>35</v>
      </c>
    </row>
    <row r="242" ht="12.75">
      <c r="A242" s="8">
        <v>2024</v>
      </c>
      <c r="B242" s="12" t="s">
        <v>36</v>
      </c>
      <c r="C242" s="12" t="s">
        <v>251</v>
      </c>
      <c r="D242" s="12" t="s">
        <v>188</v>
      </c>
      <c r="E242" s="13">
        <v>-200</v>
      </c>
      <c r="F242" s="13"/>
      <c r="G242" s="8">
        <f>IF(C242=C241,G241,G241+1)</f>
        <v>35</v>
      </c>
    </row>
    <row r="243" ht="12.75">
      <c r="A243" s="8">
        <v>2024</v>
      </c>
      <c r="B243" s="12" t="s">
        <v>36</v>
      </c>
      <c r="C243" s="12" t="s">
        <v>251</v>
      </c>
      <c r="D243" s="12" t="s">
        <v>189</v>
      </c>
      <c r="E243" s="13">
        <v>-200</v>
      </c>
      <c r="F243" s="13"/>
      <c r="G243" s="8">
        <f>IF(C243=C242,G242,G242+1)</f>
        <v>35</v>
      </c>
    </row>
    <row r="244" ht="12.75">
      <c r="A244" s="8">
        <v>2024</v>
      </c>
      <c r="B244" s="12" t="s">
        <v>36</v>
      </c>
      <c r="C244" s="12" t="s">
        <v>251</v>
      </c>
      <c r="D244" s="12" t="s">
        <v>190</v>
      </c>
      <c r="E244" s="13">
        <v>-2400</v>
      </c>
      <c r="F244" s="13"/>
      <c r="G244" s="8">
        <f>IF(C244=C243,G243,G243+1)</f>
        <v>35</v>
      </c>
    </row>
    <row r="245" ht="12.75">
      <c r="A245" s="8">
        <v>2024</v>
      </c>
      <c r="B245" s="12" t="s">
        <v>36</v>
      </c>
      <c r="C245" s="12" t="s">
        <v>251</v>
      </c>
      <c r="D245" s="12" t="s">
        <v>191</v>
      </c>
      <c r="E245" s="13">
        <v>-300</v>
      </c>
      <c r="F245" s="13"/>
      <c r="G245" s="8">
        <f>IF(C245=C244,G244,G244+1)</f>
        <v>35</v>
      </c>
    </row>
    <row r="246" ht="12.75">
      <c r="A246" s="8">
        <v>2024</v>
      </c>
      <c r="B246" s="12" t="s">
        <v>36</v>
      </c>
      <c r="C246" s="12" t="s">
        <v>251</v>
      </c>
      <c r="D246" s="12" t="s">
        <v>192</v>
      </c>
      <c r="E246" s="13">
        <v>-200</v>
      </c>
      <c r="F246" s="13"/>
      <c r="G246" s="8">
        <f>IF(C246=C245,G245,G245+1)</f>
        <v>35</v>
      </c>
    </row>
    <row r="247" ht="12.75">
      <c r="A247" s="8">
        <v>2024</v>
      </c>
      <c r="B247" s="12" t="s">
        <v>36</v>
      </c>
      <c r="C247" s="12" t="s">
        <v>251</v>
      </c>
      <c r="D247" s="12" t="s">
        <v>193</v>
      </c>
      <c r="E247" s="13">
        <v>-100</v>
      </c>
      <c r="F247" s="13"/>
      <c r="G247" s="8">
        <f>IF(C247=C246,G246,G246+1)</f>
        <v>35</v>
      </c>
    </row>
    <row r="248" ht="12.75">
      <c r="A248" s="8">
        <v>2024</v>
      </c>
      <c r="B248" s="12" t="s">
        <v>36</v>
      </c>
      <c r="C248" s="12" t="s">
        <v>251</v>
      </c>
      <c r="D248" s="12" t="s">
        <v>194</v>
      </c>
      <c r="E248" s="13">
        <v>-9000</v>
      </c>
      <c r="F248" s="13"/>
      <c r="G248" s="8">
        <f>IF(C248=C247,G247,G247+1)</f>
        <v>35</v>
      </c>
    </row>
    <row r="249" ht="12.75">
      <c r="A249" s="8">
        <v>2024</v>
      </c>
      <c r="B249" s="12" t="s">
        <v>36</v>
      </c>
      <c r="C249" s="12" t="s">
        <v>251</v>
      </c>
      <c r="D249" s="12" t="s">
        <v>253</v>
      </c>
      <c r="E249" s="13">
        <v>-1100</v>
      </c>
      <c r="F249" s="13"/>
      <c r="G249" s="8">
        <f>IF(C249=C248,G248,G248+1)</f>
        <v>35</v>
      </c>
    </row>
    <row r="250" ht="12.75">
      <c r="A250" s="8">
        <v>2024</v>
      </c>
      <c r="B250" s="12" t="s">
        <v>36</v>
      </c>
      <c r="C250" s="12" t="s">
        <v>251</v>
      </c>
      <c r="D250" s="12" t="s">
        <v>196</v>
      </c>
      <c r="E250" s="13">
        <v>0</v>
      </c>
      <c r="F250" s="13"/>
      <c r="G250" s="8">
        <f>IF(C250=C249,G249,G249+1)</f>
        <v>35</v>
      </c>
    </row>
    <row r="251" ht="12.75">
      <c r="A251" s="8">
        <v>2024</v>
      </c>
      <c r="B251" s="12" t="s">
        <v>36</v>
      </c>
      <c r="C251" s="12" t="s">
        <v>251</v>
      </c>
      <c r="D251" s="12" t="s">
        <v>197</v>
      </c>
      <c r="E251" s="13">
        <v>-5000</v>
      </c>
      <c r="F251" s="13"/>
      <c r="G251" s="8">
        <f>IF(C251=C250,G250,G250+1)</f>
        <v>35</v>
      </c>
    </row>
    <row r="252" ht="12.75">
      <c r="A252" s="8">
        <v>2024</v>
      </c>
      <c r="B252" s="12" t="s">
        <v>36</v>
      </c>
      <c r="C252" s="12" t="s">
        <v>251</v>
      </c>
      <c r="D252" s="12" t="s">
        <v>254</v>
      </c>
      <c r="E252" s="13">
        <v>0</v>
      </c>
      <c r="F252" s="13"/>
      <c r="G252" s="8">
        <f>IF(C252=C251,G251,G251+1)</f>
        <v>35</v>
      </c>
    </row>
    <row r="253" ht="12.75">
      <c r="A253" s="8">
        <v>2024</v>
      </c>
      <c r="B253" s="12" t="s">
        <v>36</v>
      </c>
      <c r="C253" s="12" t="s">
        <v>251</v>
      </c>
      <c r="D253" s="12" t="s">
        <v>255</v>
      </c>
      <c r="E253" s="13">
        <v>0</v>
      </c>
      <c r="F253" s="13"/>
      <c r="G253" s="8">
        <f>IF(C253=C252,G252,G252+1)</f>
        <v>35</v>
      </c>
    </row>
    <row r="254" ht="12.75">
      <c r="A254" s="8">
        <v>2024</v>
      </c>
      <c r="B254" s="12" t="s">
        <v>36</v>
      </c>
      <c r="C254" s="12" t="s">
        <v>251</v>
      </c>
      <c r="D254" s="12" t="s">
        <v>256</v>
      </c>
      <c r="E254" s="13">
        <v>-400</v>
      </c>
      <c r="F254" s="13"/>
      <c r="G254" s="8">
        <f>IF(C254=C253,G253,G253+1)</f>
        <v>35</v>
      </c>
    </row>
    <row r="255" ht="12.75">
      <c r="A255" s="8">
        <v>2024</v>
      </c>
      <c r="B255" s="12" t="s">
        <v>36</v>
      </c>
      <c r="C255" s="12" t="s">
        <v>251</v>
      </c>
      <c r="D255" s="12" t="s">
        <v>257</v>
      </c>
      <c r="E255" s="13">
        <v>-1300</v>
      </c>
      <c r="F255" s="13"/>
      <c r="G255" s="8">
        <f>IF(C255=C254,G254,G254+1)</f>
        <v>35</v>
      </c>
    </row>
    <row r="256" ht="12.75">
      <c r="A256" s="8">
        <v>2024</v>
      </c>
      <c r="B256" s="12" t="s">
        <v>36</v>
      </c>
      <c r="C256" s="12" t="s">
        <v>251</v>
      </c>
      <c r="D256" s="12" t="s">
        <v>258</v>
      </c>
      <c r="E256" s="13">
        <v>-1500</v>
      </c>
      <c r="F256" s="13"/>
      <c r="G256" s="8">
        <f>IF(C256=C255,G255,G255+1)</f>
        <v>35</v>
      </c>
    </row>
    <row r="257" ht="12.75">
      <c r="A257" s="8">
        <v>2024</v>
      </c>
      <c r="B257" s="12" t="s">
        <v>36</v>
      </c>
      <c r="C257" s="12" t="s">
        <v>251</v>
      </c>
      <c r="D257" s="12" t="s">
        <v>203</v>
      </c>
      <c r="E257" s="13">
        <v>-1000</v>
      </c>
      <c r="F257" s="13"/>
      <c r="G257" s="8">
        <f>IF(C257=C256,G256,G256+1)</f>
        <v>35</v>
      </c>
    </row>
    <row r="258" ht="12.75">
      <c r="A258" s="8">
        <v>2024</v>
      </c>
      <c r="B258" s="12" t="s">
        <v>36</v>
      </c>
      <c r="C258" s="12" t="s">
        <v>251</v>
      </c>
      <c r="D258" s="12" t="s">
        <v>205</v>
      </c>
      <c r="E258" s="13">
        <v>-3905</v>
      </c>
      <c r="F258" s="13"/>
      <c r="G258" s="8">
        <f>IF(C258=C257,G257,G257+1)</f>
        <v>35</v>
      </c>
    </row>
    <row r="259" ht="12.75">
      <c r="A259" s="8">
        <v>2024</v>
      </c>
      <c r="B259" s="12" t="s">
        <v>36</v>
      </c>
      <c r="C259" s="12" t="s">
        <v>251</v>
      </c>
      <c r="D259" s="12" t="s">
        <v>206</v>
      </c>
      <c r="E259" s="13">
        <v>-51035</v>
      </c>
      <c r="F259" s="13"/>
      <c r="G259" s="8">
        <f>IF(C259=C258,G258,G258+1)</f>
        <v>35</v>
      </c>
    </row>
    <row r="260" ht="12.75">
      <c r="A260" s="8">
        <v>2024</v>
      </c>
      <c r="B260" s="12" t="s">
        <v>36</v>
      </c>
      <c r="C260" s="12" t="s">
        <v>251</v>
      </c>
      <c r="D260" s="12" t="s">
        <v>207</v>
      </c>
      <c r="E260" s="13">
        <v>-1000</v>
      </c>
      <c r="F260" s="13"/>
      <c r="G260" s="8">
        <f>IF(C260=C259,G259,G259+1)</f>
        <v>35</v>
      </c>
    </row>
    <row r="261" ht="12.75">
      <c r="A261" s="8">
        <v>2024</v>
      </c>
      <c r="B261" s="12" t="s">
        <v>36</v>
      </c>
      <c r="C261" s="12" t="s">
        <v>251</v>
      </c>
      <c r="D261" s="12" t="s">
        <v>209</v>
      </c>
      <c r="E261" s="13">
        <v>-2200</v>
      </c>
      <c r="F261" s="13"/>
      <c r="G261" s="8">
        <f>IF(C261=C260,G260,G260+1)</f>
        <v>35</v>
      </c>
    </row>
    <row r="262" ht="12.75">
      <c r="A262" s="8">
        <v>2024</v>
      </c>
      <c r="B262" s="12" t="s">
        <v>36</v>
      </c>
      <c r="C262" s="12" t="s">
        <v>251</v>
      </c>
      <c r="D262" s="12" t="s">
        <v>210</v>
      </c>
      <c r="E262" s="13">
        <v>-59628</v>
      </c>
      <c r="F262" s="13"/>
      <c r="G262" s="8">
        <f>IF(C262=C261,G261,G261+1)</f>
        <v>35</v>
      </c>
    </row>
    <row r="263" ht="12.75">
      <c r="A263" s="8">
        <v>2024</v>
      </c>
      <c r="B263" s="12" t="s">
        <v>36</v>
      </c>
      <c r="C263" s="12" t="s">
        <v>251</v>
      </c>
      <c r="D263" s="12" t="s">
        <v>211</v>
      </c>
      <c r="E263" s="13">
        <v>-10000</v>
      </c>
      <c r="F263" s="13"/>
      <c r="G263" s="8">
        <f>IF(C263=C262,G262,G262+1)</f>
        <v>35</v>
      </c>
    </row>
    <row r="264" ht="12.75">
      <c r="A264" s="8">
        <v>2024</v>
      </c>
      <c r="B264" s="12" t="s">
        <v>36</v>
      </c>
      <c r="C264" s="12" t="s">
        <v>251</v>
      </c>
      <c r="D264" s="12" t="s">
        <v>212</v>
      </c>
      <c r="E264" s="13">
        <v>-13792.1</v>
      </c>
      <c r="F264" s="13"/>
      <c r="G264" s="8">
        <f>IF(C264=C263,G263,G263+1)</f>
        <v>35</v>
      </c>
    </row>
    <row r="265" ht="12.75">
      <c r="A265" s="8">
        <v>2024</v>
      </c>
      <c r="B265" s="12" t="s">
        <v>36</v>
      </c>
      <c r="C265" s="12" t="s">
        <v>251</v>
      </c>
      <c r="D265" s="12" t="s">
        <v>213</v>
      </c>
      <c r="E265" s="13">
        <v>-7536</v>
      </c>
      <c r="F265" s="13"/>
      <c r="G265" s="8">
        <f>IF(C265=C264,G264,G264+1)</f>
        <v>35</v>
      </c>
    </row>
    <row r="266" ht="12.75">
      <c r="A266" s="8">
        <v>2024</v>
      </c>
      <c r="B266" s="12" t="s">
        <v>36</v>
      </c>
      <c r="C266" s="12" t="s">
        <v>251</v>
      </c>
      <c r="D266" s="12" t="s">
        <v>214</v>
      </c>
      <c r="E266" s="13">
        <v>-5000</v>
      </c>
      <c r="F266" s="13"/>
      <c r="G266" s="8">
        <f>IF(C266=C265,G265,G265+1)</f>
        <v>35</v>
      </c>
    </row>
    <row r="267" ht="12.75">
      <c r="A267" s="8">
        <v>2024</v>
      </c>
      <c r="B267" s="12" t="s">
        <v>36</v>
      </c>
      <c r="C267" s="12" t="s">
        <v>251</v>
      </c>
      <c r="D267" s="12" t="s">
        <v>215</v>
      </c>
      <c r="E267" s="13">
        <v>-38888</v>
      </c>
      <c r="F267" s="13"/>
      <c r="G267" s="8">
        <f>IF(C267=C266,G266,G266+1)</f>
        <v>35</v>
      </c>
    </row>
    <row r="268" ht="12.75">
      <c r="A268" s="8">
        <v>2024</v>
      </c>
      <c r="B268" s="12" t="s">
        <v>36</v>
      </c>
      <c r="C268" s="12" t="s">
        <v>251</v>
      </c>
      <c r="D268" s="12" t="s">
        <v>216</v>
      </c>
      <c r="E268" s="13">
        <v>-1476.22</v>
      </c>
      <c r="F268" s="13"/>
      <c r="G268" s="8">
        <f>IF(C268=C267,G267,G267+1)</f>
        <v>35</v>
      </c>
    </row>
    <row r="269" ht="12.75">
      <c r="A269" s="8">
        <v>2024</v>
      </c>
      <c r="B269" s="12" t="s">
        <v>36</v>
      </c>
      <c r="C269" s="12" t="s">
        <v>259</v>
      </c>
      <c r="D269" s="12" t="s">
        <v>219</v>
      </c>
      <c r="E269" s="13">
        <v>-200</v>
      </c>
      <c r="F269" s="13"/>
      <c r="G269" s="8">
        <f>IF(C269=C268,G268,G268+1)</f>
        <v>36</v>
      </c>
    </row>
    <row r="270" ht="12.75">
      <c r="A270" s="8">
        <v>2024</v>
      </c>
      <c r="B270" s="12" t="s">
        <v>36</v>
      </c>
      <c r="C270" s="12" t="s">
        <v>259</v>
      </c>
      <c r="D270" s="12" t="s">
        <v>220</v>
      </c>
      <c r="E270" s="13">
        <v>-250</v>
      </c>
      <c r="F270" s="13"/>
      <c r="G270" s="8">
        <f>IF(C270=C269,G269,G269+1)</f>
        <v>36</v>
      </c>
    </row>
    <row r="271" ht="12.75">
      <c r="A271" s="8">
        <v>2024</v>
      </c>
      <c r="B271" s="12" t="s">
        <v>36</v>
      </c>
      <c r="C271" s="12" t="s">
        <v>259</v>
      </c>
      <c r="D271" s="12" t="s">
        <v>222</v>
      </c>
      <c r="E271" s="13">
        <v>-1300</v>
      </c>
      <c r="F271" s="13"/>
      <c r="G271" s="8">
        <f>IF(C271=C270,G270,G270+1)</f>
        <v>36</v>
      </c>
    </row>
    <row r="272" ht="12.75">
      <c r="A272" s="8">
        <v>2024</v>
      </c>
      <c r="B272" s="12" t="s">
        <v>36</v>
      </c>
      <c r="C272" s="12" t="s">
        <v>259</v>
      </c>
      <c r="D272" s="12" t="s">
        <v>260</v>
      </c>
      <c r="E272" s="13">
        <v>-3000</v>
      </c>
      <c r="F272" s="13"/>
      <c r="G272" s="8">
        <f>IF(C272=C271,G271,G271+1)</f>
        <v>36</v>
      </c>
    </row>
    <row r="273" ht="12.75">
      <c r="A273" s="8">
        <v>2024</v>
      </c>
      <c r="B273" s="12" t="s">
        <v>36</v>
      </c>
      <c r="C273" s="12" t="s">
        <v>259</v>
      </c>
      <c r="D273" s="12" t="s">
        <v>224</v>
      </c>
      <c r="E273" s="13">
        <v>-1400</v>
      </c>
      <c r="F273" s="13"/>
      <c r="G273" s="8">
        <f>IF(C273=C272,G272,G272+1)</f>
        <v>36</v>
      </c>
    </row>
    <row r="274" ht="12.75">
      <c r="A274" s="8">
        <v>2024</v>
      </c>
      <c r="B274" s="12" t="s">
        <v>36</v>
      </c>
      <c r="C274" s="12" t="s">
        <v>259</v>
      </c>
      <c r="D274" s="12" t="s">
        <v>225</v>
      </c>
      <c r="E274" s="13">
        <v>-200</v>
      </c>
      <c r="F274" s="13"/>
      <c r="G274" s="8">
        <f>IF(C274=C273,G273,G273+1)</f>
        <v>36</v>
      </c>
    </row>
    <row r="275" ht="12.75">
      <c r="A275" s="8">
        <v>2024</v>
      </c>
      <c r="B275" s="12" t="s">
        <v>36</v>
      </c>
      <c r="C275" s="12" t="s">
        <v>259</v>
      </c>
      <c r="D275" s="12" t="s">
        <v>226</v>
      </c>
      <c r="E275" s="13">
        <v>-300</v>
      </c>
      <c r="F275" s="13"/>
      <c r="G275" s="8">
        <f>IF(C275=C274,G274,G274+1)</f>
        <v>36</v>
      </c>
    </row>
    <row r="276" ht="12.75">
      <c r="A276" s="8">
        <v>2024</v>
      </c>
      <c r="B276" s="12" t="s">
        <v>36</v>
      </c>
      <c r="C276" s="12" t="s">
        <v>259</v>
      </c>
      <c r="D276" s="12" t="s">
        <v>261</v>
      </c>
      <c r="E276" s="13">
        <v>-9000</v>
      </c>
      <c r="F276" s="13"/>
      <c r="G276" s="8">
        <f>IF(C276=C275,G275,G275+1)</f>
        <v>36</v>
      </c>
    </row>
    <row r="277" ht="12.75">
      <c r="A277" s="8">
        <v>2024</v>
      </c>
      <c r="B277" s="12" t="s">
        <v>36</v>
      </c>
      <c r="C277" s="12" t="s">
        <v>259</v>
      </c>
      <c r="D277" s="12" t="s">
        <v>228</v>
      </c>
      <c r="E277" s="13">
        <v>-150</v>
      </c>
      <c r="F277" s="13"/>
      <c r="G277" s="8">
        <f>IF(C277=C276,G276,G276+1)</f>
        <v>36</v>
      </c>
    </row>
    <row r="278" ht="12.75">
      <c r="A278" s="8">
        <v>2024</v>
      </c>
      <c r="B278" s="12" t="s">
        <v>36</v>
      </c>
      <c r="C278" s="12" t="s">
        <v>259</v>
      </c>
      <c r="D278" s="12" t="s">
        <v>229</v>
      </c>
      <c r="E278" s="13">
        <v>-200</v>
      </c>
      <c r="F278" s="13"/>
      <c r="G278" s="8">
        <f>IF(C278=C277,G277,G277+1)</f>
        <v>36</v>
      </c>
    </row>
    <row r="279" ht="12.75">
      <c r="A279" s="8">
        <v>2024</v>
      </c>
      <c r="B279" s="12" t="s">
        <v>36</v>
      </c>
      <c r="C279" s="12" t="s">
        <v>259</v>
      </c>
      <c r="D279" s="12" t="s">
        <v>230</v>
      </c>
      <c r="E279" s="13">
        <v>-200</v>
      </c>
      <c r="F279" s="13"/>
      <c r="G279" s="8">
        <f>IF(C279=C278,G278,G278+1)</f>
        <v>36</v>
      </c>
    </row>
    <row r="280" ht="12.75">
      <c r="A280" s="8">
        <v>2024</v>
      </c>
      <c r="B280" s="12" t="s">
        <v>36</v>
      </c>
      <c r="C280" s="12" t="s">
        <v>259</v>
      </c>
      <c r="D280" s="12" t="s">
        <v>231</v>
      </c>
      <c r="E280" s="13">
        <v>-200</v>
      </c>
      <c r="F280" s="13"/>
      <c r="G280" s="8">
        <f>IF(C280=C279,G279,G279+1)</f>
        <v>36</v>
      </c>
    </row>
    <row r="281" ht="12.75">
      <c r="A281" s="8">
        <v>2024</v>
      </c>
      <c r="B281" s="12" t="s">
        <v>36</v>
      </c>
      <c r="C281" s="12" t="s">
        <v>259</v>
      </c>
      <c r="D281" s="12" t="s">
        <v>232</v>
      </c>
      <c r="E281" s="13">
        <v>-1000</v>
      </c>
      <c r="F281" s="13"/>
      <c r="G281" s="8">
        <f>IF(C281=C280,G280,G280+1)</f>
        <v>36</v>
      </c>
    </row>
    <row r="282" ht="12.75">
      <c r="A282" s="8">
        <v>2024</v>
      </c>
      <c r="B282" s="12" t="s">
        <v>36</v>
      </c>
      <c r="C282" s="12" t="s">
        <v>259</v>
      </c>
      <c r="D282" s="12" t="s">
        <v>234</v>
      </c>
      <c r="E282" s="13">
        <v>-2796.3975</v>
      </c>
      <c r="F282" s="13"/>
      <c r="G282" s="8">
        <f>IF(C282=C281,G281,G281+1)</f>
        <v>36</v>
      </c>
    </row>
    <row r="283" ht="12.75">
      <c r="A283" s="8">
        <v>2024</v>
      </c>
      <c r="B283" s="12" t="s">
        <v>36</v>
      </c>
      <c r="C283" s="12" t="s">
        <v>259</v>
      </c>
      <c r="D283" s="12" t="s">
        <v>235</v>
      </c>
      <c r="E283" s="13">
        <v>-36554.25</v>
      </c>
      <c r="F283" s="13"/>
      <c r="G283" s="8">
        <f>IF(C283=C282,G282,G282+1)</f>
        <v>36</v>
      </c>
    </row>
    <row r="284" ht="12.75">
      <c r="A284" s="8">
        <v>2024</v>
      </c>
      <c r="B284" s="12" t="s">
        <v>36</v>
      </c>
      <c r="C284" s="12" t="s">
        <v>259</v>
      </c>
      <c r="D284" s="12" t="s">
        <v>262</v>
      </c>
      <c r="E284" s="13">
        <v>0</v>
      </c>
      <c r="F284" s="13"/>
      <c r="G284" s="8">
        <f>IF(C284=C283,G283,G283+1)</f>
        <v>36</v>
      </c>
    </row>
    <row r="285" ht="12.75">
      <c r="A285" s="8">
        <v>2024</v>
      </c>
      <c r="B285" s="12" t="s">
        <v>36</v>
      </c>
      <c r="C285" s="12" t="s">
        <v>259</v>
      </c>
      <c r="D285" s="12" t="s">
        <v>263</v>
      </c>
      <c r="E285" s="13">
        <v>-1462.1700000000001</v>
      </c>
      <c r="F285" s="13"/>
      <c r="G285" s="8">
        <f>IF(C285=C284,G284,G284+1)</f>
        <v>36</v>
      </c>
    </row>
    <row r="286" ht="12.75">
      <c r="A286" s="8">
        <v>2024</v>
      </c>
      <c r="B286" s="12" t="s">
        <v>36</v>
      </c>
      <c r="C286" s="12" t="s">
        <v>259</v>
      </c>
      <c r="D286" s="12" t="s">
        <v>237</v>
      </c>
      <c r="E286" s="13">
        <v>-1000</v>
      </c>
      <c r="F286" s="13"/>
      <c r="G286" s="8">
        <f>IF(C286=C285,G285,G285+1)</f>
        <v>36</v>
      </c>
    </row>
    <row r="287" ht="12.75">
      <c r="A287" s="8">
        <v>2024</v>
      </c>
      <c r="B287" s="12" t="s">
        <v>36</v>
      </c>
      <c r="C287" s="12" t="s">
        <v>264</v>
      </c>
      <c r="D287" s="12" t="s">
        <v>120</v>
      </c>
      <c r="E287" s="13">
        <v>-10000</v>
      </c>
      <c r="F287" s="13"/>
      <c r="G287" s="8">
        <f>IF(C287=C286,G286,G286+1)</f>
        <v>37</v>
      </c>
    </row>
    <row r="288" ht="12.75">
      <c r="A288" s="8">
        <v>2024</v>
      </c>
      <c r="B288" s="12" t="s">
        <v>36</v>
      </c>
      <c r="C288" s="12" t="s">
        <v>264</v>
      </c>
      <c r="D288" s="12" t="s">
        <v>121</v>
      </c>
      <c r="E288" s="13">
        <v>-14400</v>
      </c>
      <c r="F288" s="13"/>
      <c r="G288" s="8">
        <f>IF(C288=C287,G287,G287+1)</f>
        <v>37</v>
      </c>
    </row>
    <row r="289" ht="12.75">
      <c r="A289" s="8">
        <v>2024</v>
      </c>
      <c r="B289" s="12" t="s">
        <v>36</v>
      </c>
      <c r="C289" s="12" t="s">
        <v>264</v>
      </c>
      <c r="D289" s="12" t="s">
        <v>122</v>
      </c>
      <c r="E289" s="13">
        <v>-44800</v>
      </c>
      <c r="F289" s="13"/>
      <c r="G289" s="8">
        <f>IF(C289=C288,G288,G288+1)</f>
        <v>37</v>
      </c>
    </row>
    <row r="290" ht="12.75">
      <c r="A290" s="8">
        <v>2024</v>
      </c>
      <c r="B290" s="12" t="s">
        <v>36</v>
      </c>
      <c r="C290" s="12" t="s">
        <v>264</v>
      </c>
      <c r="D290" s="12" t="s">
        <v>123</v>
      </c>
      <c r="E290" s="13">
        <v>-20000</v>
      </c>
      <c r="F290" s="13"/>
      <c r="G290" s="8">
        <f>IF(C290=C289,G289,G289+1)</f>
        <v>37</v>
      </c>
    </row>
    <row r="291" ht="12.75">
      <c r="A291" s="8">
        <v>2024</v>
      </c>
      <c r="B291" s="12" t="s">
        <v>36</v>
      </c>
      <c r="C291" s="12" t="s">
        <v>264</v>
      </c>
      <c r="D291" s="12" t="s">
        <v>124</v>
      </c>
      <c r="E291" s="13">
        <v>-1600</v>
      </c>
      <c r="F291" s="13"/>
      <c r="G291" s="8">
        <f>IF(C291=C290,G290,G290+1)</f>
        <v>37</v>
      </c>
    </row>
    <row r="292" ht="12.75">
      <c r="A292" s="8">
        <v>2024</v>
      </c>
      <c r="B292" s="12" t="s">
        <v>36</v>
      </c>
      <c r="C292" s="12" t="s">
        <v>264</v>
      </c>
      <c r="D292" s="12" t="s">
        <v>125</v>
      </c>
      <c r="E292" s="13">
        <v>-1600</v>
      </c>
      <c r="F292" s="13"/>
      <c r="G292" s="8">
        <f>IF(C292=C291,G291,G291+1)</f>
        <v>37</v>
      </c>
    </row>
    <row r="293" ht="12.75">
      <c r="A293" s="8">
        <v>2024</v>
      </c>
      <c r="B293" s="12" t="s">
        <v>36</v>
      </c>
      <c r="C293" s="12" t="s">
        <v>264</v>
      </c>
      <c r="D293" s="12" t="s">
        <v>126</v>
      </c>
      <c r="E293" s="13">
        <v>-7200</v>
      </c>
      <c r="F293" s="13"/>
      <c r="G293" s="8">
        <f>IF(C293=C292,G292,G292+1)</f>
        <v>37</v>
      </c>
    </row>
    <row r="294" ht="12.75">
      <c r="A294" s="8">
        <v>2024</v>
      </c>
      <c r="B294" s="12" t="s">
        <v>36</v>
      </c>
      <c r="C294" s="12" t="s">
        <v>264</v>
      </c>
      <c r="D294" s="12" t="s">
        <v>127</v>
      </c>
      <c r="E294" s="13">
        <v>-7200</v>
      </c>
      <c r="F294" s="13"/>
      <c r="G294" s="8">
        <f>IF(C294=C293,G293,G293+1)</f>
        <v>37</v>
      </c>
    </row>
    <row r="295" ht="12.75">
      <c r="A295" s="8">
        <v>2024</v>
      </c>
      <c r="B295" s="12" t="s">
        <v>36</v>
      </c>
      <c r="C295" s="12" t="s">
        <v>264</v>
      </c>
      <c r="D295" s="12" t="s">
        <v>130</v>
      </c>
      <c r="E295" s="13">
        <v>-34600</v>
      </c>
      <c r="F295" s="13"/>
      <c r="G295" s="8">
        <f>IF(C295=C294,G294,G294+1)</f>
        <v>37</v>
      </c>
    </row>
    <row r="296" ht="12.75">
      <c r="A296" s="8">
        <v>2024</v>
      </c>
      <c r="B296" s="12" t="s">
        <v>36</v>
      </c>
      <c r="C296" s="12" t="s">
        <v>264</v>
      </c>
      <c r="D296" s="12" t="s">
        <v>128</v>
      </c>
      <c r="E296" s="13">
        <v>-10000</v>
      </c>
      <c r="F296" s="13"/>
      <c r="G296" s="8">
        <f>IF(C296=C295,G295,G295+1)</f>
        <v>37</v>
      </c>
    </row>
    <row r="297" ht="12.75">
      <c r="A297" s="8">
        <v>2024</v>
      </c>
      <c r="B297" s="12" t="s">
        <v>36</v>
      </c>
      <c r="C297" s="12" t="s">
        <v>265</v>
      </c>
      <c r="D297" s="12" t="s">
        <v>96</v>
      </c>
      <c r="E297" s="13">
        <v>-40000</v>
      </c>
      <c r="F297" s="13"/>
      <c r="G297" s="8">
        <f>IF(C297=C296,G296,G296+1)</f>
        <v>38</v>
      </c>
    </row>
    <row r="298" ht="12.75">
      <c r="A298" s="8">
        <v>2024</v>
      </c>
      <c r="B298" s="12" t="s">
        <v>36</v>
      </c>
      <c r="C298" s="12" t="s">
        <v>265</v>
      </c>
      <c r="D298" s="12" t="s">
        <v>266</v>
      </c>
      <c r="E298" s="13">
        <v>0</v>
      </c>
      <c r="F298" s="13"/>
      <c r="G298" s="8">
        <f>IF(C298=C297,G297,G297+1)</f>
        <v>38</v>
      </c>
    </row>
    <row r="299" ht="12.75">
      <c r="A299" s="8">
        <v>2024</v>
      </c>
      <c r="B299" s="12" t="s">
        <v>36</v>
      </c>
      <c r="C299" s="12" t="s">
        <v>265</v>
      </c>
      <c r="D299" s="12" t="s">
        <v>98</v>
      </c>
      <c r="E299" s="13">
        <v>-200</v>
      </c>
      <c r="F299" s="13"/>
      <c r="G299" s="8">
        <f>IF(C299=C298,G298,G298+1)</f>
        <v>38</v>
      </c>
    </row>
    <row r="300" ht="12.75">
      <c r="A300" s="8">
        <v>2024</v>
      </c>
      <c r="B300" s="12" t="s">
        <v>36</v>
      </c>
      <c r="C300" s="12" t="s">
        <v>265</v>
      </c>
      <c r="D300" s="12" t="s">
        <v>267</v>
      </c>
      <c r="E300" s="13">
        <v>0</v>
      </c>
      <c r="F300" s="13"/>
      <c r="G300" s="8">
        <f>IF(C300=C299,G299,G299+1)</f>
        <v>38</v>
      </c>
    </row>
    <row r="301" ht="12.75">
      <c r="A301" s="8">
        <v>2024</v>
      </c>
      <c r="B301" s="12" t="s">
        <v>36</v>
      </c>
      <c r="C301" s="12" t="s">
        <v>265</v>
      </c>
      <c r="D301" s="12" t="s">
        <v>137</v>
      </c>
      <c r="E301" s="13">
        <v>-10000</v>
      </c>
      <c r="F301" s="13"/>
      <c r="G301" s="8">
        <f>IF(C301=C300,G300,G300+1)</f>
        <v>38</v>
      </c>
    </row>
    <row r="302" ht="12.75">
      <c r="A302" s="8">
        <v>2024</v>
      </c>
      <c r="B302" s="12" t="s">
        <v>36</v>
      </c>
      <c r="C302" s="12" t="s">
        <v>265</v>
      </c>
      <c r="D302" s="12" t="s">
        <v>138</v>
      </c>
      <c r="E302" s="13">
        <v>-200</v>
      </c>
      <c r="F302" s="13"/>
      <c r="G302" s="8">
        <f>IF(C302=C301,G301,G301+1)</f>
        <v>38</v>
      </c>
    </row>
    <row r="303" ht="12.75">
      <c r="A303" s="8">
        <v>2024</v>
      </c>
      <c r="B303" s="12" t="s">
        <v>36</v>
      </c>
      <c r="C303" s="12" t="s">
        <v>265</v>
      </c>
      <c r="D303" s="12" t="s">
        <v>268</v>
      </c>
      <c r="E303" s="13">
        <v>-1500</v>
      </c>
      <c r="F303" s="13"/>
      <c r="G303" s="8">
        <f>IF(C303=C302,G302,G302+1)</f>
        <v>38</v>
      </c>
    </row>
    <row r="304" ht="12.75">
      <c r="A304" s="8">
        <v>2024</v>
      </c>
      <c r="B304" s="12" t="s">
        <v>36</v>
      </c>
      <c r="C304" s="12" t="s">
        <v>265</v>
      </c>
      <c r="D304" s="12" t="s">
        <v>269</v>
      </c>
      <c r="E304" s="13">
        <v>-700</v>
      </c>
      <c r="F304" s="13"/>
      <c r="G304" s="8">
        <f>IF(C304=C303,G303,G303+1)</f>
        <v>38</v>
      </c>
    </row>
    <row r="305" ht="12.75">
      <c r="A305" s="8">
        <v>2024</v>
      </c>
      <c r="B305" s="12" t="s">
        <v>36</v>
      </c>
      <c r="C305" s="12" t="s">
        <v>265</v>
      </c>
      <c r="D305" s="12" t="s">
        <v>142</v>
      </c>
      <c r="E305" s="13">
        <v>-6000</v>
      </c>
      <c r="F305" s="13"/>
      <c r="G305" s="8">
        <f>IF(C305=C304,G304,G304+1)</f>
        <v>38</v>
      </c>
    </row>
    <row r="306" ht="12.75">
      <c r="A306" s="8">
        <v>2024</v>
      </c>
      <c r="B306" s="12" t="s">
        <v>36</v>
      </c>
      <c r="C306" s="12" t="s">
        <v>265</v>
      </c>
      <c r="D306" s="12" t="s">
        <v>143</v>
      </c>
      <c r="E306" s="13">
        <v>0</v>
      </c>
      <c r="F306" s="13"/>
      <c r="G306" s="8">
        <f>IF(C306=C305,G305,G305+1)</f>
        <v>38</v>
      </c>
    </row>
    <row r="307" ht="12.75">
      <c r="A307" s="8">
        <v>2024</v>
      </c>
      <c r="B307" s="12" t="s">
        <v>36</v>
      </c>
      <c r="C307" s="12" t="s">
        <v>265</v>
      </c>
      <c r="D307" s="12" t="s">
        <v>270</v>
      </c>
      <c r="E307" s="13">
        <v>0</v>
      </c>
      <c r="F307" s="13"/>
      <c r="G307" s="8">
        <f>IF(C307=C306,G306,G306+1)</f>
        <v>38</v>
      </c>
    </row>
    <row r="308" ht="12.75">
      <c r="A308" s="8">
        <v>2024</v>
      </c>
      <c r="B308" s="12" t="s">
        <v>36</v>
      </c>
      <c r="C308" s="12" t="s">
        <v>271</v>
      </c>
      <c r="D308" s="12" t="s">
        <v>272</v>
      </c>
      <c r="E308" s="13">
        <v>-5000</v>
      </c>
      <c r="F308" s="13"/>
      <c r="G308" s="8">
        <f>IF(C308=C307,G307,G307+1)</f>
        <v>39</v>
      </c>
    </row>
    <row r="309" ht="12.75">
      <c r="A309" s="8">
        <v>2024</v>
      </c>
      <c r="B309" s="12" t="s">
        <v>36</v>
      </c>
      <c r="C309" s="12" t="s">
        <v>271</v>
      </c>
      <c r="D309" s="12" t="s">
        <v>58</v>
      </c>
      <c r="E309" s="13">
        <v>-200</v>
      </c>
      <c r="F309" s="13"/>
      <c r="G309" s="8">
        <f>IF(C309=C308,G308,G308+1)</f>
        <v>39</v>
      </c>
    </row>
    <row r="310" ht="12.75">
      <c r="A310" s="8">
        <v>2024</v>
      </c>
      <c r="B310" s="12" t="s">
        <v>36</v>
      </c>
      <c r="C310" s="12" t="s">
        <v>271</v>
      </c>
      <c r="D310" s="12" t="s">
        <v>59</v>
      </c>
      <c r="E310" s="13">
        <v>-150</v>
      </c>
      <c r="F310" s="13"/>
      <c r="G310" s="8">
        <f>IF(C310=C309,G309,G309+1)</f>
        <v>39</v>
      </c>
    </row>
    <row r="311" ht="12.75">
      <c r="A311" s="8">
        <v>2024</v>
      </c>
      <c r="B311" s="12" t="s">
        <v>36</v>
      </c>
      <c r="C311" s="12" t="s">
        <v>271</v>
      </c>
      <c r="D311" s="12" t="s">
        <v>60</v>
      </c>
      <c r="E311" s="13">
        <v>-450</v>
      </c>
      <c r="F311" s="13"/>
      <c r="G311" s="8">
        <f>IF(C311=C310,G310,G310+1)</f>
        <v>39</v>
      </c>
    </row>
    <row r="312" ht="12.75">
      <c r="A312" s="8">
        <v>2024</v>
      </c>
      <c r="B312" s="12" t="s">
        <v>36</v>
      </c>
      <c r="C312" s="12" t="s">
        <v>271</v>
      </c>
      <c r="D312" s="12" t="s">
        <v>61</v>
      </c>
      <c r="E312" s="13">
        <v>-150</v>
      </c>
      <c r="F312" s="13"/>
      <c r="G312" s="8">
        <f>IF(C312=C311,G311,G311+1)</f>
        <v>39</v>
      </c>
    </row>
    <row r="313" ht="12.75">
      <c r="A313" s="8">
        <v>2024</v>
      </c>
      <c r="B313" s="12" t="s">
        <v>36</v>
      </c>
      <c r="C313" s="12" t="s">
        <v>271</v>
      </c>
      <c r="D313" s="12" t="s">
        <v>62</v>
      </c>
      <c r="E313" s="13">
        <v>-800</v>
      </c>
      <c r="F313" s="13"/>
      <c r="G313" s="8">
        <f>IF(C313=C312,G312,G312+1)</f>
        <v>39</v>
      </c>
    </row>
    <row r="314" ht="12.75">
      <c r="A314" s="8">
        <v>2024</v>
      </c>
      <c r="B314" s="12" t="s">
        <v>36</v>
      </c>
      <c r="C314" s="12" t="s">
        <v>271</v>
      </c>
      <c r="D314" s="12" t="s">
        <v>63</v>
      </c>
      <c r="E314" s="13">
        <v>-150</v>
      </c>
      <c r="F314" s="13"/>
      <c r="G314" s="8">
        <f>IF(C314=C313,G313,G313+1)</f>
        <v>39</v>
      </c>
    </row>
    <row r="315" ht="12.75">
      <c r="A315" s="8">
        <v>2024</v>
      </c>
      <c r="B315" s="12" t="s">
        <v>36</v>
      </c>
      <c r="C315" s="12" t="s">
        <v>271</v>
      </c>
      <c r="D315" s="12" t="s">
        <v>115</v>
      </c>
      <c r="E315" s="13">
        <v>0</v>
      </c>
      <c r="F315" s="13"/>
      <c r="G315" s="8">
        <f>IF(C315=C314,G314,G314+1)</f>
        <v>39</v>
      </c>
    </row>
    <row r="316" ht="12.75">
      <c r="A316" s="8">
        <v>2024</v>
      </c>
      <c r="B316" s="12" t="s">
        <v>36</v>
      </c>
      <c r="C316" s="12" t="s">
        <v>271</v>
      </c>
      <c r="D316" s="12" t="s">
        <v>116</v>
      </c>
      <c r="E316" s="13">
        <v>-400</v>
      </c>
      <c r="F316" s="13"/>
      <c r="G316" s="8">
        <f>IF(C316=C315,G315,G315+1)</f>
        <v>39</v>
      </c>
    </row>
    <row r="317" ht="12.75">
      <c r="A317" s="8">
        <v>2024</v>
      </c>
      <c r="B317" s="12" t="s">
        <v>36</v>
      </c>
      <c r="C317" s="12" t="s">
        <v>271</v>
      </c>
      <c r="D317" s="12" t="s">
        <v>117</v>
      </c>
      <c r="E317" s="13">
        <v>-180</v>
      </c>
      <c r="F317" s="13"/>
      <c r="G317" s="8">
        <f>IF(C317=C316,G316,G316+1)</f>
        <v>39</v>
      </c>
    </row>
    <row r="318" ht="12.75">
      <c r="A318" s="8">
        <v>2024</v>
      </c>
      <c r="B318" s="12" t="s">
        <v>36</v>
      </c>
      <c r="C318" s="12" t="s">
        <v>271</v>
      </c>
      <c r="D318" s="12" t="s">
        <v>118</v>
      </c>
      <c r="E318" s="13">
        <v>-150</v>
      </c>
      <c r="F318" s="13"/>
      <c r="G318" s="8">
        <f>IF(C318=C317,G317,G317+1)</f>
        <v>39</v>
      </c>
    </row>
    <row r="319" ht="12.75">
      <c r="A319" s="8">
        <v>2024</v>
      </c>
      <c r="B319" s="12" t="s">
        <v>36</v>
      </c>
      <c r="C319" s="12" t="s">
        <v>273</v>
      </c>
      <c r="D319" s="12" t="s">
        <v>69</v>
      </c>
      <c r="E319" s="13">
        <v>-300</v>
      </c>
      <c r="F319" s="13"/>
      <c r="G319" s="8">
        <f>IF(C319=C318,G318,G318+1)</f>
        <v>40</v>
      </c>
    </row>
    <row r="320" ht="12.75">
      <c r="A320" s="8">
        <v>2024</v>
      </c>
      <c r="B320" s="12" t="s">
        <v>36</v>
      </c>
      <c r="C320" s="12" t="s">
        <v>273</v>
      </c>
      <c r="D320" s="12" t="s">
        <v>70</v>
      </c>
      <c r="E320" s="13">
        <v>-200</v>
      </c>
      <c r="F320" s="13"/>
      <c r="G320" s="8">
        <f>IF(C320=C319,G319,G319+1)</f>
        <v>40</v>
      </c>
    </row>
    <row r="321" ht="12.75">
      <c r="A321" s="8">
        <v>2024</v>
      </c>
      <c r="B321" s="12" t="s">
        <v>36</v>
      </c>
      <c r="C321" s="12" t="s">
        <v>273</v>
      </c>
      <c r="D321" s="12" t="s">
        <v>71</v>
      </c>
      <c r="E321" s="13">
        <v>-500</v>
      </c>
      <c r="F321" s="13"/>
      <c r="G321" s="8">
        <f>IF(C321=C320,G320,G320+1)</f>
        <v>40</v>
      </c>
    </row>
    <row r="322" ht="12.75">
      <c r="A322" s="8">
        <v>2024</v>
      </c>
      <c r="B322" s="12" t="s">
        <v>36</v>
      </c>
      <c r="C322" s="12" t="s">
        <v>273</v>
      </c>
      <c r="D322" s="12" t="s">
        <v>72</v>
      </c>
      <c r="E322" s="13">
        <v>-100</v>
      </c>
      <c r="F322" s="13"/>
      <c r="G322" s="8">
        <f>IF(C322=C321,G321,G321+1)</f>
        <v>40</v>
      </c>
    </row>
    <row r="323" ht="12.75">
      <c r="A323" s="8">
        <v>2024</v>
      </c>
      <c r="B323" s="12" t="s">
        <v>36</v>
      </c>
      <c r="C323" s="12" t="s">
        <v>273</v>
      </c>
      <c r="D323" s="12" t="s">
        <v>73</v>
      </c>
      <c r="E323" s="13">
        <v>-300</v>
      </c>
      <c r="F323" s="13"/>
      <c r="G323" s="8">
        <f>IF(C323=C322,G322,G322+1)</f>
        <v>40</v>
      </c>
    </row>
    <row r="324" ht="12.75">
      <c r="A324" s="8">
        <v>2024</v>
      </c>
      <c r="B324" s="12" t="s">
        <v>36</v>
      </c>
      <c r="C324" s="12" t="s">
        <v>273</v>
      </c>
      <c r="D324" s="12" t="s">
        <v>75</v>
      </c>
      <c r="E324" s="13">
        <v>-1560</v>
      </c>
      <c r="F324" s="13"/>
      <c r="G324" s="8">
        <f>IF(C324=C323,G323,G323+1)</f>
        <v>40</v>
      </c>
    </row>
    <row r="325" ht="12.75">
      <c r="A325" s="8">
        <v>2024</v>
      </c>
      <c r="B325" s="12" t="s">
        <v>36</v>
      </c>
      <c r="C325" s="12" t="s">
        <v>273</v>
      </c>
      <c r="D325" s="12" t="s">
        <v>76</v>
      </c>
      <c r="E325" s="13">
        <v>-53667.660000000003</v>
      </c>
      <c r="F325" s="13"/>
      <c r="G325" s="8">
        <f>IF(C325=C324,G324,G324+1)</f>
        <v>40</v>
      </c>
    </row>
    <row r="326" ht="12.75">
      <c r="A326" s="8">
        <v>2024</v>
      </c>
      <c r="B326" s="12" t="s">
        <v>36</v>
      </c>
      <c r="C326" s="12" t="s">
        <v>273</v>
      </c>
      <c r="D326" s="12" t="s">
        <v>77</v>
      </c>
      <c r="E326" s="13">
        <v>-26446.439999999999</v>
      </c>
      <c r="F326" s="13"/>
      <c r="G326" s="8">
        <f>IF(C326=C325,G325,G325+1)</f>
        <v>40</v>
      </c>
    </row>
    <row r="327" ht="12.75">
      <c r="A327" s="8">
        <v>2024</v>
      </c>
      <c r="B327" s="12" t="s">
        <v>36</v>
      </c>
      <c r="C327" s="12" t="s">
        <v>273</v>
      </c>
      <c r="D327" s="12" t="s">
        <v>78</v>
      </c>
      <c r="E327" s="13">
        <v>-9754.4300000000003</v>
      </c>
      <c r="F327" s="13"/>
      <c r="G327" s="8">
        <f>IF(C327=C326,G326,G326+1)</f>
        <v>40</v>
      </c>
    </row>
    <row r="328" ht="12.75">
      <c r="A328" s="8">
        <v>2024</v>
      </c>
      <c r="B328" s="12" t="s">
        <v>36</v>
      </c>
      <c r="C328" s="12" t="s">
        <v>273</v>
      </c>
      <c r="D328" s="12" t="s">
        <v>79</v>
      </c>
      <c r="E328" s="13">
        <v>-5497.9499999999998</v>
      </c>
      <c r="F328" s="13"/>
      <c r="G328" s="8">
        <f>IF(C328=C327,G327,G327+1)</f>
        <v>40</v>
      </c>
    </row>
    <row r="329" ht="12.75">
      <c r="A329" s="8">
        <v>2024</v>
      </c>
      <c r="B329" s="12" t="s">
        <v>36</v>
      </c>
      <c r="C329" s="12" t="s">
        <v>273</v>
      </c>
      <c r="D329" s="12" t="s">
        <v>80</v>
      </c>
      <c r="E329" s="13">
        <v>-3800</v>
      </c>
      <c r="F329" s="13"/>
      <c r="G329" s="8">
        <f>IF(C329=C328,G328,G328+1)</f>
        <v>40</v>
      </c>
    </row>
    <row r="330" ht="12.75">
      <c r="A330" s="8">
        <v>2024</v>
      </c>
      <c r="B330" s="12" t="s">
        <v>36</v>
      </c>
      <c r="C330" s="12" t="s">
        <v>273</v>
      </c>
      <c r="D330" s="12" t="s">
        <v>81</v>
      </c>
      <c r="E330" s="13">
        <v>-35009</v>
      </c>
      <c r="F330" s="13"/>
      <c r="G330" s="8">
        <f>IF(C330=C329,G329,G329+1)</f>
        <v>40</v>
      </c>
    </row>
    <row r="331" ht="12.75">
      <c r="A331" s="8">
        <v>2024</v>
      </c>
      <c r="B331" s="12" t="s">
        <v>36</v>
      </c>
      <c r="C331" s="12" t="s">
        <v>273</v>
      </c>
      <c r="D331" s="12" t="s">
        <v>82</v>
      </c>
      <c r="E331" s="13">
        <v>-3500</v>
      </c>
      <c r="F331" s="13"/>
      <c r="G331" s="8">
        <f>IF(C331=C330,G330,G330+1)</f>
        <v>40</v>
      </c>
    </row>
    <row r="332" ht="12.75">
      <c r="A332" s="8">
        <v>2024</v>
      </c>
      <c r="B332" s="12" t="s">
        <v>36</v>
      </c>
      <c r="C332" s="12" t="s">
        <v>274</v>
      </c>
      <c r="D332" s="12" t="s">
        <v>132</v>
      </c>
      <c r="E332" s="13">
        <v>-1300</v>
      </c>
      <c r="F332" s="13"/>
      <c r="G332" s="8">
        <f>IF(C332=C331,G331,G331+1)</f>
        <v>41</v>
      </c>
    </row>
    <row r="333" ht="12.75">
      <c r="A333" s="8">
        <v>2024</v>
      </c>
      <c r="B333" s="12" t="s">
        <v>36</v>
      </c>
      <c r="C333" s="12" t="s">
        <v>274</v>
      </c>
      <c r="D333" s="12" t="s">
        <v>133</v>
      </c>
      <c r="E333" s="13">
        <v>-300</v>
      </c>
      <c r="F333" s="13"/>
      <c r="G333" s="8">
        <f>IF(C333=C332,G332,G332+1)</f>
        <v>41</v>
      </c>
    </row>
    <row r="334" ht="12.75">
      <c r="A334" s="8">
        <v>2024</v>
      </c>
      <c r="B334" s="12" t="s">
        <v>36</v>
      </c>
      <c r="C334" s="12" t="s">
        <v>274</v>
      </c>
      <c r="D334" s="12" t="s">
        <v>134</v>
      </c>
      <c r="E334" s="13">
        <v>-150</v>
      </c>
      <c r="F334" s="13"/>
      <c r="G334" s="8">
        <f>IF(C334=C333,G333,G333+1)</f>
        <v>41</v>
      </c>
    </row>
    <row r="335" ht="12.75">
      <c r="A335" s="8">
        <v>2024</v>
      </c>
      <c r="B335" s="12" t="s">
        <v>36</v>
      </c>
      <c r="C335" s="12" t="s">
        <v>274</v>
      </c>
      <c r="D335" s="12" t="s">
        <v>135</v>
      </c>
      <c r="E335" s="13">
        <v>-300</v>
      </c>
      <c r="F335" s="13"/>
      <c r="G335" s="8">
        <f>IF(C335=C334,G334,G334+1)</f>
        <v>41</v>
      </c>
    </row>
    <row r="336" ht="12.75">
      <c r="A336" s="8">
        <v>2024</v>
      </c>
      <c r="B336" s="12" t="s">
        <v>36</v>
      </c>
      <c r="C336" s="12" t="s">
        <v>275</v>
      </c>
      <c r="D336" s="12" t="s">
        <v>100</v>
      </c>
      <c r="E336" s="13">
        <v>-500</v>
      </c>
      <c r="F336" s="13"/>
      <c r="G336" s="8">
        <f>IF(C336=C335,G335,G335+1)</f>
        <v>42</v>
      </c>
    </row>
    <row r="337" ht="12.75">
      <c r="A337" s="8">
        <v>2024</v>
      </c>
      <c r="B337" s="12" t="s">
        <v>36</v>
      </c>
      <c r="C337" s="12" t="s">
        <v>275</v>
      </c>
      <c r="D337" s="12" t="s">
        <v>101</v>
      </c>
      <c r="E337" s="13">
        <v>-1000</v>
      </c>
      <c r="F337" s="13"/>
      <c r="G337" s="8">
        <f>IF(C337=C336,G336,G336+1)</f>
        <v>42</v>
      </c>
    </row>
    <row r="338" ht="12.75">
      <c r="A338" s="8">
        <v>2024</v>
      </c>
      <c r="B338" s="12" t="s">
        <v>36</v>
      </c>
      <c r="C338" s="12" t="s">
        <v>275</v>
      </c>
      <c r="D338" s="12" t="s">
        <v>102</v>
      </c>
      <c r="E338" s="13">
        <v>0</v>
      </c>
      <c r="F338" s="13"/>
      <c r="G338" s="8">
        <f>IF(C338=C337,G337,G337+1)</f>
        <v>42</v>
      </c>
    </row>
    <row r="339" ht="12.75">
      <c r="A339" s="8">
        <v>2024</v>
      </c>
      <c r="B339" s="12" t="s">
        <v>36</v>
      </c>
      <c r="C339" s="12" t="s">
        <v>275</v>
      </c>
      <c r="D339" s="12" t="s">
        <v>103</v>
      </c>
      <c r="E339" s="13">
        <v>-1000</v>
      </c>
      <c r="F339" s="13"/>
      <c r="G339" s="8">
        <f>IF(C339=C338,G338,G338+1)</f>
        <v>42</v>
      </c>
    </row>
    <row r="340" ht="12.75">
      <c r="A340" s="8">
        <v>2024</v>
      </c>
      <c r="B340" s="12" t="s">
        <v>36</v>
      </c>
      <c r="C340" s="12" t="s">
        <v>276</v>
      </c>
      <c r="D340" s="12" t="s">
        <v>277</v>
      </c>
      <c r="E340" s="13">
        <v>-2000</v>
      </c>
      <c r="F340" s="13"/>
      <c r="G340" s="8">
        <f>IF(C340=C339,G339,G339+1)</f>
        <v>43</v>
      </c>
    </row>
    <row r="341" ht="12.75">
      <c r="A341" s="8">
        <v>2024</v>
      </c>
      <c r="B341" s="12" t="s">
        <v>36</v>
      </c>
      <c r="C341" s="12" t="s">
        <v>276</v>
      </c>
      <c r="D341" s="12" t="s">
        <v>146</v>
      </c>
      <c r="E341" s="13">
        <v>-700</v>
      </c>
      <c r="F341" s="13"/>
      <c r="G341" s="8">
        <f>IF(C341=C340,G340,G340+1)</f>
        <v>43</v>
      </c>
    </row>
    <row r="342" ht="12.75">
      <c r="A342" s="8">
        <v>2024</v>
      </c>
      <c r="B342" s="12" t="s">
        <v>36</v>
      </c>
      <c r="C342" s="12" t="s">
        <v>276</v>
      </c>
      <c r="D342" s="12" t="s">
        <v>147</v>
      </c>
      <c r="E342" s="13">
        <v>-8500</v>
      </c>
      <c r="F342" s="13"/>
      <c r="G342" s="8">
        <f>IF(C342=C341,G341,G341+1)</f>
        <v>43</v>
      </c>
    </row>
    <row r="343" ht="12.75">
      <c r="A343" s="8">
        <v>2024</v>
      </c>
      <c r="B343" s="12" t="s">
        <v>36</v>
      </c>
      <c r="C343" s="12" t="s">
        <v>276</v>
      </c>
      <c r="D343" s="12" t="s">
        <v>148</v>
      </c>
      <c r="E343" s="13">
        <v>-9800</v>
      </c>
      <c r="F343" s="13"/>
      <c r="G343" s="8">
        <f>IF(C343=C342,G342,G342+1)</f>
        <v>43</v>
      </c>
    </row>
    <row r="344" ht="12.75">
      <c r="A344" s="8">
        <v>2024</v>
      </c>
      <c r="B344" s="12" t="s">
        <v>36</v>
      </c>
      <c r="C344" s="12" t="s">
        <v>276</v>
      </c>
      <c r="D344" s="12" t="s">
        <v>149</v>
      </c>
      <c r="E344" s="13">
        <v>-1000</v>
      </c>
      <c r="F344" s="13"/>
      <c r="G344" s="8">
        <f>IF(C344=C343,G343,G343+1)</f>
        <v>43</v>
      </c>
    </row>
    <row r="345" ht="12.75">
      <c r="A345" s="8">
        <v>2024</v>
      </c>
      <c r="B345" s="12" t="s">
        <v>36</v>
      </c>
      <c r="C345" s="12" t="s">
        <v>276</v>
      </c>
      <c r="D345" s="12" t="s">
        <v>150</v>
      </c>
      <c r="E345" s="13">
        <v>-500</v>
      </c>
      <c r="F345" s="13"/>
      <c r="G345" s="8">
        <f>IF(C345=C344,G344,G344+1)</f>
        <v>43</v>
      </c>
    </row>
    <row r="346" ht="12.75">
      <c r="A346" s="8">
        <v>2024</v>
      </c>
      <c r="B346" s="12" t="s">
        <v>36</v>
      </c>
      <c r="C346" s="12" t="s">
        <v>276</v>
      </c>
      <c r="D346" s="12" t="s">
        <v>151</v>
      </c>
      <c r="E346" s="13">
        <v>-1000</v>
      </c>
      <c r="F346" s="13"/>
      <c r="G346" s="8">
        <f>IF(C346=C345,G345,G345+1)</f>
        <v>43</v>
      </c>
    </row>
    <row r="347" ht="12.75">
      <c r="A347" s="8">
        <v>2024</v>
      </c>
      <c r="B347" s="12" t="s">
        <v>36</v>
      </c>
      <c r="C347" s="12" t="s">
        <v>276</v>
      </c>
      <c r="D347" s="12" t="s">
        <v>152</v>
      </c>
      <c r="E347" s="13">
        <v>-3600</v>
      </c>
      <c r="F347" s="13"/>
      <c r="G347" s="8">
        <f>IF(C347=C346,G346,G346+1)</f>
        <v>43</v>
      </c>
    </row>
    <row r="348" ht="12.75">
      <c r="A348" s="8">
        <v>2024</v>
      </c>
      <c r="B348" s="12" t="s">
        <v>36</v>
      </c>
      <c r="C348" s="12" t="s">
        <v>276</v>
      </c>
      <c r="D348" s="12" t="s">
        <v>153</v>
      </c>
      <c r="E348" s="13">
        <v>-6200</v>
      </c>
      <c r="F348" s="13"/>
      <c r="G348" s="8">
        <f>IF(C348=C347,G347,G347+1)</f>
        <v>43</v>
      </c>
    </row>
    <row r="349" ht="12.75">
      <c r="A349" s="8">
        <v>2024</v>
      </c>
      <c r="B349" s="12" t="s">
        <v>36</v>
      </c>
      <c r="C349" s="12" t="s">
        <v>276</v>
      </c>
      <c r="D349" s="12" t="s">
        <v>154</v>
      </c>
      <c r="E349" s="13">
        <v>-16200</v>
      </c>
      <c r="F349" s="13"/>
      <c r="G349" s="8">
        <f>IF(C349=C348,G348,G348+1)</f>
        <v>43</v>
      </c>
    </row>
    <row r="350" ht="12.75">
      <c r="A350" s="8">
        <v>2024</v>
      </c>
      <c r="B350" s="12" t="s">
        <v>36</v>
      </c>
      <c r="C350" s="12" t="s">
        <v>276</v>
      </c>
      <c r="D350" s="12" t="s">
        <v>155</v>
      </c>
      <c r="E350" s="13">
        <v>0</v>
      </c>
      <c r="F350" s="13"/>
      <c r="G350" s="8">
        <f>IF(C350=C349,G349,G349+1)</f>
        <v>43</v>
      </c>
    </row>
    <row r="351" ht="12.75">
      <c r="A351" s="8">
        <v>2024</v>
      </c>
      <c r="B351" s="12" t="s">
        <v>36</v>
      </c>
      <c r="C351" s="12" t="s">
        <v>276</v>
      </c>
      <c r="D351" s="12" t="s">
        <v>156</v>
      </c>
      <c r="E351" s="13">
        <v>0</v>
      </c>
      <c r="F351" s="13"/>
      <c r="G351" s="8">
        <f>IF(C351=C350,G350,G350+1)</f>
        <v>43</v>
      </c>
    </row>
    <row r="352" ht="12.75">
      <c r="A352" s="8">
        <v>2024</v>
      </c>
      <c r="B352" s="12" t="s">
        <v>36</v>
      </c>
      <c r="C352" s="12" t="s">
        <v>276</v>
      </c>
      <c r="D352" s="12" t="s">
        <v>157</v>
      </c>
      <c r="E352" s="13">
        <v>0</v>
      </c>
      <c r="F352" s="13"/>
      <c r="G352" s="8">
        <f>IF(C352=C351,G351,G351+1)</f>
        <v>43</v>
      </c>
    </row>
    <row r="353" ht="12.75">
      <c r="A353" s="8">
        <v>2024</v>
      </c>
      <c r="B353" s="12" t="s">
        <v>36</v>
      </c>
      <c r="C353" s="12" t="s">
        <v>276</v>
      </c>
      <c r="D353" s="12" t="s">
        <v>158</v>
      </c>
      <c r="E353" s="13">
        <v>0</v>
      </c>
      <c r="F353" s="13"/>
      <c r="G353" s="8">
        <f>IF(C353=C352,G352,G352+1)</f>
        <v>43</v>
      </c>
    </row>
    <row r="354" ht="12.75">
      <c r="A354" s="8">
        <v>2024</v>
      </c>
      <c r="B354" s="12" t="s">
        <v>36</v>
      </c>
      <c r="C354" s="12" t="s">
        <v>276</v>
      </c>
      <c r="D354" s="12" t="s">
        <v>159</v>
      </c>
      <c r="E354" s="13">
        <v>-1400</v>
      </c>
      <c r="F354" s="13"/>
      <c r="G354" s="8">
        <f>IF(C354=C353,G353,G353+1)</f>
        <v>43</v>
      </c>
    </row>
    <row r="355" ht="12.75">
      <c r="A355" s="8">
        <v>2024</v>
      </c>
      <c r="B355" s="12" t="s">
        <v>36</v>
      </c>
      <c r="C355" s="12" t="s">
        <v>276</v>
      </c>
      <c r="D355" s="12" t="s">
        <v>160</v>
      </c>
      <c r="E355" s="13">
        <v>-1000</v>
      </c>
      <c r="F355" s="13"/>
      <c r="G355" s="8">
        <f>IF(C355=C354,G354,G354+1)</f>
        <v>43</v>
      </c>
    </row>
    <row r="356" ht="12.75">
      <c r="A356" s="8">
        <v>2024</v>
      </c>
      <c r="B356" s="12" t="s">
        <v>36</v>
      </c>
      <c r="C356" s="12" t="s">
        <v>276</v>
      </c>
      <c r="D356" s="12" t="s">
        <v>161</v>
      </c>
      <c r="E356" s="13">
        <v>-13200</v>
      </c>
      <c r="F356" s="13"/>
      <c r="G356" s="8">
        <f>IF(C356=C355,G355,G355+1)</f>
        <v>43</v>
      </c>
    </row>
    <row r="357" ht="12.75">
      <c r="A357" s="8">
        <v>2024</v>
      </c>
      <c r="B357" s="12" t="s">
        <v>36</v>
      </c>
      <c r="C357" s="12" t="s">
        <v>276</v>
      </c>
      <c r="D357" s="12" t="s">
        <v>162</v>
      </c>
      <c r="E357" s="13">
        <v>-22000</v>
      </c>
      <c r="F357" s="13"/>
      <c r="G357" s="8">
        <f>IF(C357=C356,G356,G356+1)</f>
        <v>43</v>
      </c>
    </row>
    <row r="358" ht="12.75">
      <c r="A358" s="8">
        <v>2024</v>
      </c>
      <c r="B358" s="12" t="s">
        <v>36</v>
      </c>
      <c r="C358" s="12" t="s">
        <v>276</v>
      </c>
      <c r="D358" s="12" t="s">
        <v>163</v>
      </c>
      <c r="E358" s="13">
        <v>-33500</v>
      </c>
      <c r="F358" s="13"/>
      <c r="G358" s="8">
        <f>IF(C358=C357,G357,G357+1)</f>
        <v>43</v>
      </c>
    </row>
    <row r="359" ht="12.75">
      <c r="A359" s="8">
        <v>2024</v>
      </c>
      <c r="B359" s="12" t="s">
        <v>36</v>
      </c>
      <c r="C359" s="12" t="s">
        <v>276</v>
      </c>
      <c r="D359" s="12" t="s">
        <v>164</v>
      </c>
      <c r="E359" s="13">
        <v>-16400</v>
      </c>
      <c r="F359" s="13"/>
      <c r="G359" s="8">
        <f>IF(C359=C358,G358,G358+1)</f>
        <v>43</v>
      </c>
    </row>
    <row r="360" ht="12.75">
      <c r="A360" s="8">
        <v>2024</v>
      </c>
      <c r="B360" s="12" t="s">
        <v>36</v>
      </c>
      <c r="C360" s="12" t="s">
        <v>276</v>
      </c>
      <c r="D360" s="12" t="s">
        <v>165</v>
      </c>
      <c r="E360" s="13">
        <v>-2200</v>
      </c>
      <c r="F360" s="13"/>
      <c r="G360" s="8">
        <f>IF(C360=C359,G359,G359+1)</f>
        <v>43</v>
      </c>
    </row>
    <row r="361" ht="12.75">
      <c r="A361" s="8">
        <v>2024</v>
      </c>
      <c r="B361" s="12" t="s">
        <v>36</v>
      </c>
      <c r="C361" s="12" t="s">
        <v>276</v>
      </c>
      <c r="D361" s="12" t="s">
        <v>166</v>
      </c>
      <c r="E361" s="13">
        <v>-3500</v>
      </c>
      <c r="F361" s="13"/>
      <c r="G361" s="8">
        <f>IF(C361=C360,G360,G360+1)</f>
        <v>43</v>
      </c>
    </row>
    <row r="362" ht="12.75">
      <c r="A362" s="8">
        <v>2024</v>
      </c>
      <c r="B362" s="12" t="s">
        <v>36</v>
      </c>
      <c r="C362" s="12" t="s">
        <v>276</v>
      </c>
      <c r="D362" s="12" t="s">
        <v>167</v>
      </c>
      <c r="E362" s="13">
        <v>-2500</v>
      </c>
      <c r="F362" s="13"/>
      <c r="G362" s="8">
        <f>IF(C362=C361,G361,G361+1)</f>
        <v>43</v>
      </c>
    </row>
    <row r="363" ht="12.75">
      <c r="A363" s="8">
        <v>2024</v>
      </c>
      <c r="B363" s="12" t="s">
        <v>36</v>
      </c>
      <c r="C363" s="12" t="s">
        <v>276</v>
      </c>
      <c r="D363" s="12" t="s">
        <v>168</v>
      </c>
      <c r="E363" s="13">
        <v>-2500</v>
      </c>
      <c r="F363" s="13"/>
      <c r="G363" s="8">
        <f>IF(C363=C362,G362,G362+1)</f>
        <v>43</v>
      </c>
    </row>
    <row r="364" ht="12.75">
      <c r="A364" s="8">
        <v>2024</v>
      </c>
      <c r="B364" s="12" t="s">
        <v>36</v>
      </c>
      <c r="C364" s="12" t="s">
        <v>276</v>
      </c>
      <c r="D364" s="12" t="s">
        <v>169</v>
      </c>
      <c r="E364" s="13">
        <v>-3800</v>
      </c>
      <c r="F364" s="13"/>
      <c r="G364" s="8">
        <f>IF(C364=C363,G363,G363+1)</f>
        <v>43</v>
      </c>
    </row>
    <row r="365" ht="12.75">
      <c r="A365" s="8">
        <v>2024</v>
      </c>
      <c r="B365" s="12" t="s">
        <v>36</v>
      </c>
      <c r="C365" s="12" t="s">
        <v>276</v>
      </c>
      <c r="D365" s="12" t="s">
        <v>170</v>
      </c>
      <c r="E365" s="13">
        <v>-1000</v>
      </c>
      <c r="F365" s="13"/>
      <c r="G365" s="8">
        <f>IF(C365=C364,G364,G364+1)</f>
        <v>43</v>
      </c>
    </row>
    <row r="366" ht="12.75">
      <c r="A366" s="8">
        <v>2024</v>
      </c>
      <c r="B366" s="12" t="s">
        <v>36</v>
      </c>
      <c r="C366" s="12" t="s">
        <v>276</v>
      </c>
      <c r="D366" s="12" t="s">
        <v>171</v>
      </c>
      <c r="E366" s="13">
        <v>-20000</v>
      </c>
      <c r="F366" s="13"/>
      <c r="G366" s="8">
        <f>IF(C366=C365,G365,G365+1)</f>
        <v>43</v>
      </c>
    </row>
    <row r="367" ht="12.75">
      <c r="A367" s="8">
        <v>2024</v>
      </c>
      <c r="B367" s="12" t="s">
        <v>36</v>
      </c>
      <c r="C367" s="12" t="s">
        <v>276</v>
      </c>
      <c r="D367" s="12" t="s">
        <v>278</v>
      </c>
      <c r="E367" s="13">
        <v>-500</v>
      </c>
      <c r="F367" s="13"/>
      <c r="G367" s="8">
        <f>IF(C367=C366,G366,G366+1)</f>
        <v>43</v>
      </c>
    </row>
    <row r="368" ht="12.75">
      <c r="A368" s="8">
        <v>2024</v>
      </c>
      <c r="B368" s="12" t="s">
        <v>36</v>
      </c>
      <c r="C368" s="12" t="s">
        <v>276</v>
      </c>
      <c r="D368" s="12" t="s">
        <v>174</v>
      </c>
      <c r="E368" s="13">
        <v>-7306.9499999999998</v>
      </c>
      <c r="F368" s="13"/>
      <c r="G368" s="8">
        <f>IF(C368=C367,G367,G367+1)</f>
        <v>43</v>
      </c>
    </row>
    <row r="369" ht="12.75">
      <c r="A369" s="8">
        <v>2024</v>
      </c>
      <c r="B369" s="12" t="s">
        <v>36</v>
      </c>
      <c r="C369" s="12" t="s">
        <v>276</v>
      </c>
      <c r="D369" s="12" t="s">
        <v>175</v>
      </c>
      <c r="E369" s="13">
        <v>-95515.830000000002</v>
      </c>
      <c r="F369" s="13"/>
      <c r="G369" s="8">
        <f>IF(C369=C368,G368,G368+1)</f>
        <v>43</v>
      </c>
    </row>
    <row r="370" ht="12.75">
      <c r="A370" s="8">
        <v>2024</v>
      </c>
      <c r="B370" s="12" t="s">
        <v>36</v>
      </c>
      <c r="C370" s="12" t="s">
        <v>276</v>
      </c>
      <c r="D370" s="12" t="s">
        <v>176</v>
      </c>
      <c r="E370" s="13">
        <v>-11000</v>
      </c>
      <c r="F370" s="13"/>
      <c r="G370" s="8">
        <f>IF(C370=C369,G369,G369+1)</f>
        <v>43</v>
      </c>
    </row>
    <row r="371" ht="12.75">
      <c r="A371" s="8">
        <v>2024</v>
      </c>
      <c r="B371" s="12" t="s">
        <v>36</v>
      </c>
      <c r="C371" s="12" t="s">
        <v>276</v>
      </c>
      <c r="D371" s="12" t="s">
        <v>177</v>
      </c>
      <c r="E371" s="13">
        <v>-3820.6199999999999</v>
      </c>
      <c r="F371" s="13"/>
      <c r="G371" s="8">
        <f>IF(C371=C370,G370,G370+1)</f>
        <v>43</v>
      </c>
    </row>
    <row r="372" ht="12.75">
      <c r="A372" s="8">
        <v>2024</v>
      </c>
      <c r="B372" s="12" t="s">
        <v>36</v>
      </c>
      <c r="C372" s="12" t="s">
        <v>276</v>
      </c>
      <c r="D372" s="12" t="s">
        <v>178</v>
      </c>
      <c r="E372" s="13">
        <v>-1000</v>
      </c>
      <c r="F372" s="13"/>
      <c r="G372" s="8">
        <f>IF(C372=C371,G371,G371+1)</f>
        <v>43</v>
      </c>
    </row>
    <row r="373" ht="12.75">
      <c r="A373" s="8">
        <v>2024</v>
      </c>
      <c r="B373" s="12" t="s">
        <v>36</v>
      </c>
      <c r="C373" s="12" t="s">
        <v>276</v>
      </c>
      <c r="D373" s="12" t="s">
        <v>279</v>
      </c>
      <c r="E373" s="13">
        <v>0</v>
      </c>
      <c r="F373" s="13"/>
      <c r="G373" s="8">
        <f>IF(C373=C372,G372,G372+1)</f>
        <v>43</v>
      </c>
    </row>
    <row r="374" ht="12.75">
      <c r="A374" s="8">
        <v>2024</v>
      </c>
      <c r="B374" s="12" t="s">
        <v>36</v>
      </c>
      <c r="C374" s="12" t="s">
        <v>280</v>
      </c>
      <c r="D374" s="12" t="s">
        <v>105</v>
      </c>
      <c r="E374" s="13">
        <v>-20000</v>
      </c>
      <c r="F374" s="13"/>
      <c r="G374" s="8">
        <f>IF(C374=C373,G373,G373+1)</f>
        <v>44</v>
      </c>
    </row>
    <row r="375" ht="12.75">
      <c r="A375" s="8">
        <v>2024</v>
      </c>
      <c r="B375" s="12" t="s">
        <v>36</v>
      </c>
      <c r="C375" s="12" t="s">
        <v>280</v>
      </c>
      <c r="D375" s="12" t="s">
        <v>106</v>
      </c>
      <c r="E375" s="13">
        <v>-38000</v>
      </c>
      <c r="F375" s="13"/>
      <c r="G375" s="8">
        <f>IF(C375=C374,G374,G374+1)</f>
        <v>44</v>
      </c>
    </row>
    <row r="376" ht="12.75">
      <c r="A376" s="8">
        <v>2024</v>
      </c>
      <c r="B376" s="12" t="s">
        <v>36</v>
      </c>
      <c r="C376" s="12" t="s">
        <v>280</v>
      </c>
      <c r="D376" s="12" t="s">
        <v>107</v>
      </c>
      <c r="E376" s="13">
        <v>-33000</v>
      </c>
      <c r="F376" s="13"/>
      <c r="G376" s="8">
        <f>IF(C376=C375,G375,G375+1)</f>
        <v>44</v>
      </c>
    </row>
    <row r="377" ht="12.75">
      <c r="A377" s="8">
        <v>2024</v>
      </c>
      <c r="B377" s="12" t="s">
        <v>36</v>
      </c>
      <c r="C377" s="12" t="s">
        <v>280</v>
      </c>
      <c r="D377" s="12" t="s">
        <v>281</v>
      </c>
      <c r="E377" s="13">
        <v>-2000</v>
      </c>
      <c r="F377" s="13"/>
      <c r="G377" s="8">
        <f>IF(C377=C376,G376,G376+1)</f>
        <v>44</v>
      </c>
    </row>
    <row r="378" ht="12.75">
      <c r="A378" s="8">
        <v>2024</v>
      </c>
      <c r="B378" s="12" t="s">
        <v>36</v>
      </c>
      <c r="C378" s="12" t="s">
        <v>280</v>
      </c>
      <c r="D378" s="12" t="s">
        <v>109</v>
      </c>
      <c r="E378" s="13">
        <v>-1000</v>
      </c>
      <c r="F378" s="13"/>
      <c r="G378" s="8">
        <f>IF(C378=C377,G377,G377+1)</f>
        <v>44</v>
      </c>
    </row>
    <row r="379" ht="12.75">
      <c r="A379" s="8">
        <v>2024</v>
      </c>
      <c r="B379" s="12" t="s">
        <v>36</v>
      </c>
      <c r="C379" s="12" t="s">
        <v>280</v>
      </c>
      <c r="D379" s="12" t="s">
        <v>110</v>
      </c>
      <c r="E379" s="13">
        <v>-6000</v>
      </c>
      <c r="F379" s="13"/>
      <c r="G379" s="8">
        <f>IF(C379=C378,G378,G378+1)</f>
        <v>44</v>
      </c>
    </row>
    <row r="380" ht="12.75">
      <c r="A380" s="8">
        <v>2024</v>
      </c>
      <c r="B380" s="12" t="s">
        <v>36</v>
      </c>
      <c r="C380" s="12" t="s">
        <v>280</v>
      </c>
      <c r="D380" s="12" t="s">
        <v>111</v>
      </c>
      <c r="E380" s="13">
        <v>-250</v>
      </c>
      <c r="F380" s="13"/>
      <c r="G380" s="8">
        <f>IF(C380=C379,G379,G379+1)</f>
        <v>44</v>
      </c>
    </row>
    <row r="381" ht="12.75">
      <c r="A381" s="8">
        <v>2024</v>
      </c>
      <c r="B381" s="12" t="s">
        <v>36</v>
      </c>
      <c r="C381" s="12" t="s">
        <v>280</v>
      </c>
      <c r="D381" s="12" t="s">
        <v>112</v>
      </c>
      <c r="E381" s="13">
        <v>-5000</v>
      </c>
      <c r="F381" s="13"/>
      <c r="G381" s="8">
        <f>IF(C381=C380,G380,G380+1)</f>
        <v>44</v>
      </c>
    </row>
    <row r="382" ht="12.75">
      <c r="A382" s="8">
        <v>2024</v>
      </c>
      <c r="B382" s="12" t="s">
        <v>36</v>
      </c>
      <c r="C382" s="12" t="s">
        <v>280</v>
      </c>
      <c r="D382" s="12" t="s">
        <v>113</v>
      </c>
      <c r="E382" s="13">
        <v>-200</v>
      </c>
      <c r="F382" s="13"/>
      <c r="G382" s="8">
        <f>IF(C382=C381,G381,G381+1)</f>
        <v>44</v>
      </c>
    </row>
    <row r="383" ht="12.75">
      <c r="A383" s="8">
        <v>2024</v>
      </c>
      <c r="B383" s="12" t="s">
        <v>36</v>
      </c>
      <c r="C383" s="12" t="s">
        <v>282</v>
      </c>
      <c r="D383" s="12" t="s">
        <v>65</v>
      </c>
      <c r="E383" s="13">
        <v>-2500</v>
      </c>
      <c r="F383" s="13"/>
      <c r="G383" s="8">
        <f>IF(C383=C382,G382,G382+1)</f>
        <v>45</v>
      </c>
    </row>
    <row r="384" ht="12.75">
      <c r="A384" s="8">
        <v>2024</v>
      </c>
      <c r="B384" s="12" t="s">
        <v>36</v>
      </c>
      <c r="C384" s="12" t="s">
        <v>282</v>
      </c>
      <c r="D384" s="12" t="s">
        <v>66</v>
      </c>
      <c r="E384" s="13">
        <v>-750</v>
      </c>
      <c r="F384" s="13"/>
      <c r="G384" s="8">
        <f>IF(C384=C383,G383,G383+1)</f>
        <v>45</v>
      </c>
    </row>
    <row r="385" ht="12.75">
      <c r="A385" s="8">
        <v>2024</v>
      </c>
      <c r="B385" s="12" t="s">
        <v>36</v>
      </c>
      <c r="C385" s="12" t="s">
        <v>282</v>
      </c>
      <c r="D385" s="12" t="s">
        <v>67</v>
      </c>
      <c r="E385" s="13">
        <v>-650</v>
      </c>
      <c r="F385" s="13"/>
      <c r="G385" s="8">
        <f>IF(C385=C384,G384,G384+1)</f>
        <v>45</v>
      </c>
    </row>
    <row r="386" ht="12.75">
      <c r="A386" s="8">
        <v>2024</v>
      </c>
      <c r="B386" s="12" t="s">
        <v>36</v>
      </c>
      <c r="C386" s="12" t="s">
        <v>283</v>
      </c>
      <c r="D386" s="12" t="s">
        <v>38</v>
      </c>
      <c r="E386" s="13">
        <v>-3500</v>
      </c>
      <c r="F386" s="13"/>
      <c r="G386" s="8">
        <f>IF(C386=C385,G385,G385+1)</f>
        <v>46</v>
      </c>
    </row>
    <row r="387" ht="12.75">
      <c r="A387" s="8">
        <v>2024</v>
      </c>
      <c r="B387" s="12" t="s">
        <v>36</v>
      </c>
      <c r="C387" s="12" t="s">
        <v>283</v>
      </c>
      <c r="D387" s="12" t="s">
        <v>39</v>
      </c>
      <c r="E387" s="13">
        <v>0</v>
      </c>
      <c r="F387" s="13"/>
      <c r="G387" s="8">
        <f>IF(C387=C386,G386,G386+1)</f>
        <v>46</v>
      </c>
    </row>
    <row r="388" ht="12.75">
      <c r="A388" s="8">
        <v>2024</v>
      </c>
      <c r="B388" s="12" t="s">
        <v>36</v>
      </c>
      <c r="C388" s="12" t="s">
        <v>283</v>
      </c>
      <c r="D388" s="12" t="s">
        <v>40</v>
      </c>
      <c r="E388" s="13">
        <v>-750</v>
      </c>
      <c r="F388" s="13"/>
      <c r="G388" s="8">
        <f>IF(C388=C387,G387,G387+1)</f>
        <v>46</v>
      </c>
    </row>
    <row r="389" ht="12.75">
      <c r="A389" s="8">
        <v>2024</v>
      </c>
      <c r="B389" s="12" t="s">
        <v>36</v>
      </c>
      <c r="C389" s="12" t="s">
        <v>283</v>
      </c>
      <c r="D389" s="12" t="s">
        <v>41</v>
      </c>
      <c r="E389" s="13">
        <v>-18000</v>
      </c>
      <c r="F389" s="13"/>
      <c r="G389" s="8">
        <f>IF(C389=C388,G388,G388+1)</f>
        <v>46</v>
      </c>
    </row>
    <row r="390" ht="12.75">
      <c r="A390" s="8">
        <v>2024</v>
      </c>
      <c r="B390" s="12" t="s">
        <v>36</v>
      </c>
      <c r="C390" s="12" t="s">
        <v>283</v>
      </c>
      <c r="D390" s="12" t="s">
        <v>42</v>
      </c>
      <c r="E390" s="13">
        <v>-4000</v>
      </c>
      <c r="F390" s="13"/>
      <c r="G390" s="8">
        <f>IF(C390=C389,G389,G389+1)</f>
        <v>46</v>
      </c>
    </row>
    <row r="391" ht="12.75">
      <c r="A391" s="8">
        <v>2024</v>
      </c>
      <c r="B391" s="12" t="s">
        <v>36</v>
      </c>
      <c r="C391" s="12" t="s">
        <v>283</v>
      </c>
      <c r="D391" s="12" t="s">
        <v>43</v>
      </c>
      <c r="E391" s="13">
        <v>-3000</v>
      </c>
      <c r="F391" s="13"/>
      <c r="G391" s="8">
        <f>IF(C391=C390,G390,G390+1)</f>
        <v>46</v>
      </c>
    </row>
    <row r="392" ht="12.75">
      <c r="A392" s="8">
        <v>2024</v>
      </c>
      <c r="B392" s="12" t="s">
        <v>36</v>
      </c>
      <c r="C392" s="12" t="s">
        <v>283</v>
      </c>
      <c r="D392" s="12" t="s">
        <v>44</v>
      </c>
      <c r="E392" s="13">
        <v>-1500</v>
      </c>
      <c r="F392" s="13"/>
      <c r="G392" s="8">
        <f>IF(C392=C391,G391,G391+1)</f>
        <v>46</v>
      </c>
    </row>
    <row r="393" ht="12.75">
      <c r="A393" s="8">
        <v>2024</v>
      </c>
      <c r="B393" s="12" t="s">
        <v>36</v>
      </c>
      <c r="C393" s="12" t="s">
        <v>283</v>
      </c>
      <c r="D393" s="12" t="s">
        <v>45</v>
      </c>
      <c r="E393" s="13">
        <v>-1000</v>
      </c>
      <c r="F393" s="13"/>
      <c r="G393" s="8">
        <f>IF(C393=C392,G392,G392+1)</f>
        <v>46</v>
      </c>
    </row>
    <row r="394" ht="12.75">
      <c r="A394" s="8">
        <v>2024</v>
      </c>
      <c r="B394" s="12" t="s">
        <v>36</v>
      </c>
      <c r="C394" s="12" t="s">
        <v>283</v>
      </c>
      <c r="D394" s="12" t="s">
        <v>46</v>
      </c>
      <c r="E394" s="13">
        <v>-3000</v>
      </c>
      <c r="F394" s="13"/>
      <c r="G394" s="8">
        <f>IF(C394=C393,G393,G393+1)</f>
        <v>46</v>
      </c>
    </row>
    <row r="395" ht="12.75">
      <c r="A395" s="8">
        <v>2024</v>
      </c>
      <c r="B395" s="12" t="s">
        <v>36</v>
      </c>
      <c r="C395" s="12" t="s">
        <v>283</v>
      </c>
      <c r="D395" s="12" t="s">
        <v>47</v>
      </c>
      <c r="E395" s="13">
        <v>-2000</v>
      </c>
      <c r="F395" s="13"/>
      <c r="G395" s="8">
        <f>IF(C395=C394,G394,G394+1)</f>
        <v>46</v>
      </c>
    </row>
    <row r="396" ht="12.75">
      <c r="A396" s="8">
        <v>2024</v>
      </c>
      <c r="B396" s="12" t="s">
        <v>36</v>
      </c>
      <c r="C396" s="12" t="s">
        <v>283</v>
      </c>
      <c r="D396" s="12" t="s">
        <v>284</v>
      </c>
      <c r="E396" s="13">
        <v>-500</v>
      </c>
      <c r="F396" s="13"/>
      <c r="G396" s="8">
        <f>IF(C396=C395,G395,G395+1)</f>
        <v>46</v>
      </c>
    </row>
    <row r="397" ht="12.75">
      <c r="A397" s="8">
        <v>2024</v>
      </c>
      <c r="B397" s="12" t="s">
        <v>36</v>
      </c>
      <c r="C397" s="12" t="s">
        <v>283</v>
      </c>
      <c r="D397" s="12" t="s">
        <v>48</v>
      </c>
      <c r="E397" s="13">
        <v>-500</v>
      </c>
      <c r="F397" s="13"/>
      <c r="G397" s="8">
        <f>IF(C397=C396,G396,G396+1)</f>
        <v>46</v>
      </c>
    </row>
    <row r="398" ht="12.75">
      <c r="A398" s="8">
        <v>2024</v>
      </c>
      <c r="B398" s="12" t="s">
        <v>36</v>
      </c>
      <c r="C398" s="12" t="s">
        <v>283</v>
      </c>
      <c r="D398" s="12" t="s">
        <v>49</v>
      </c>
      <c r="E398" s="13">
        <v>-4500</v>
      </c>
      <c r="F398" s="13"/>
      <c r="G398" s="8">
        <f>IF(C398=C397,G397,G397+1)</f>
        <v>46</v>
      </c>
    </row>
    <row r="399" ht="12.75">
      <c r="A399" s="8">
        <v>2024</v>
      </c>
      <c r="B399" s="12" t="s">
        <v>36</v>
      </c>
      <c r="C399" s="12" t="s">
        <v>283</v>
      </c>
      <c r="D399" s="12" t="s">
        <v>50</v>
      </c>
      <c r="E399" s="13">
        <v>-5000</v>
      </c>
      <c r="F399" s="13"/>
      <c r="G399" s="8">
        <f>IF(C399=C398,G398,G398+1)</f>
        <v>46</v>
      </c>
    </row>
    <row r="400" ht="12.75">
      <c r="A400" s="8">
        <v>2024</v>
      </c>
      <c r="B400" s="12" t="s">
        <v>36</v>
      </c>
      <c r="C400" s="12" t="s">
        <v>283</v>
      </c>
      <c r="D400" s="12" t="s">
        <v>52</v>
      </c>
      <c r="E400" s="13">
        <v>-6618</v>
      </c>
      <c r="F400" s="13"/>
      <c r="G400" s="8">
        <f>IF(C400=C399,G399,G399+1)</f>
        <v>46</v>
      </c>
    </row>
    <row r="401" ht="12.75">
      <c r="A401" s="8">
        <v>2024</v>
      </c>
      <c r="B401" s="12" t="s">
        <v>36</v>
      </c>
      <c r="C401" s="12" t="s">
        <v>283</v>
      </c>
      <c r="D401" s="12" t="s">
        <v>53</v>
      </c>
      <c r="E401" s="13">
        <v>-86513.919999999998</v>
      </c>
      <c r="F401" s="13"/>
      <c r="G401" s="8">
        <f>IF(C401=C400,G400,G400+1)</f>
        <v>46</v>
      </c>
    </row>
    <row r="402" ht="12.75">
      <c r="A402" s="8">
        <v>2024</v>
      </c>
      <c r="B402" s="12" t="s">
        <v>36</v>
      </c>
      <c r="C402" s="12" t="s">
        <v>283</v>
      </c>
      <c r="D402" s="12" t="s">
        <v>54</v>
      </c>
      <c r="E402" s="13">
        <v>-2560</v>
      </c>
      <c r="F402" s="13"/>
      <c r="G402" s="8">
        <f>IF(C402=C401,G401,G401+1)</f>
        <v>46</v>
      </c>
    </row>
    <row r="403" ht="12.75">
      <c r="A403" s="8">
        <v>2024</v>
      </c>
      <c r="B403" s="12" t="s">
        <v>36</v>
      </c>
      <c r="C403" s="12" t="s">
        <v>283</v>
      </c>
      <c r="D403" s="12" t="s">
        <v>55</v>
      </c>
      <c r="E403" s="13">
        <v>-11000</v>
      </c>
      <c r="F403" s="13"/>
      <c r="G403" s="8">
        <f>IF(C403=C402,G402,G402+1)</f>
        <v>46</v>
      </c>
    </row>
    <row r="404" ht="12.75">
      <c r="A404" s="8">
        <v>2024</v>
      </c>
      <c r="B404" s="12" t="s">
        <v>36</v>
      </c>
      <c r="C404" s="12" t="s">
        <v>283</v>
      </c>
      <c r="D404" s="12" t="s">
        <v>56</v>
      </c>
      <c r="E404" s="13">
        <v>-1000</v>
      </c>
      <c r="F404" s="13"/>
      <c r="G404" s="8">
        <f>IF(C404=C403,G403,G403+1)</f>
        <v>46</v>
      </c>
    </row>
    <row r="405" ht="12.75">
      <c r="A405" s="8">
        <v>2024</v>
      </c>
      <c r="B405" s="12" t="s">
        <v>36</v>
      </c>
      <c r="C405" s="12" t="s">
        <v>285</v>
      </c>
      <c r="D405" s="12" t="s">
        <v>286</v>
      </c>
      <c r="E405" s="13">
        <v>-1000</v>
      </c>
      <c r="F405" s="13"/>
      <c r="G405" s="8">
        <f>IF(C405=C404,G404,G404+1)</f>
        <v>47</v>
      </c>
    </row>
    <row r="406" ht="12.75">
      <c r="A406" s="8">
        <v>2024</v>
      </c>
      <c r="B406" s="12" t="s">
        <v>36</v>
      </c>
      <c r="C406" s="12" t="s">
        <v>285</v>
      </c>
      <c r="D406" s="12" t="s">
        <v>85</v>
      </c>
      <c r="E406" s="13">
        <v>-1000</v>
      </c>
      <c r="F406" s="13"/>
      <c r="G406" s="8">
        <f>IF(C406=C405,G405,G405+1)</f>
        <v>47</v>
      </c>
    </row>
    <row r="407" ht="12.75">
      <c r="A407" s="8">
        <v>2024</v>
      </c>
      <c r="B407" s="12" t="s">
        <v>36</v>
      </c>
      <c r="C407" s="12" t="s">
        <v>285</v>
      </c>
      <c r="D407" s="12" t="s">
        <v>86</v>
      </c>
      <c r="E407" s="13">
        <v>-1500</v>
      </c>
      <c r="F407" s="13"/>
      <c r="G407" s="8">
        <f>IF(C407=C406,G406,G406+1)</f>
        <v>47</v>
      </c>
    </row>
    <row r="408" ht="12.75">
      <c r="A408" s="8">
        <v>2024</v>
      </c>
      <c r="B408" s="12" t="s">
        <v>36</v>
      </c>
      <c r="C408" s="12" t="s">
        <v>285</v>
      </c>
      <c r="D408" s="12" t="s">
        <v>87</v>
      </c>
      <c r="E408" s="13">
        <v>-500</v>
      </c>
      <c r="F408" s="13"/>
      <c r="G408" s="8">
        <f>IF(C408=C407,G407,G407+1)</f>
        <v>47</v>
      </c>
    </row>
    <row r="409" ht="12.75">
      <c r="A409" s="8">
        <v>2024</v>
      </c>
      <c r="B409" s="12" t="s">
        <v>36</v>
      </c>
      <c r="C409" s="12" t="s">
        <v>285</v>
      </c>
      <c r="D409" s="12" t="s">
        <v>88</v>
      </c>
      <c r="E409" s="13">
        <v>-2000</v>
      </c>
      <c r="F409" s="13"/>
      <c r="G409" s="8">
        <f>IF(C409=C408,G408,G408+1)</f>
        <v>47</v>
      </c>
    </row>
    <row r="410" ht="12.75">
      <c r="A410" s="8">
        <v>2024</v>
      </c>
      <c r="B410" s="12" t="s">
        <v>36</v>
      </c>
      <c r="C410" s="12" t="s">
        <v>285</v>
      </c>
      <c r="D410" s="12" t="s">
        <v>287</v>
      </c>
      <c r="E410" s="13">
        <v>-1000</v>
      </c>
      <c r="F410" s="13"/>
      <c r="G410" s="8">
        <f>IF(C410=C409,G409,G409+1)</f>
        <v>47</v>
      </c>
    </row>
    <row r="411" ht="12.75">
      <c r="A411" s="8">
        <v>2024</v>
      </c>
      <c r="B411" s="12" t="s">
        <v>36</v>
      </c>
      <c r="C411" s="12" t="s">
        <v>285</v>
      </c>
      <c r="D411" s="12" t="s">
        <v>91</v>
      </c>
      <c r="E411" s="13">
        <v>-20000</v>
      </c>
      <c r="F411" s="13"/>
      <c r="G411" s="8">
        <f>IF(C411=C410,G410,G410+1)</f>
        <v>47</v>
      </c>
    </row>
    <row r="412" ht="12.75">
      <c r="A412" s="8">
        <v>2024</v>
      </c>
      <c r="B412" s="12" t="s">
        <v>36</v>
      </c>
      <c r="C412" s="12" t="s">
        <v>285</v>
      </c>
      <c r="D412" s="12" t="s">
        <v>92</v>
      </c>
      <c r="E412" s="13">
        <v>-1530</v>
      </c>
      <c r="F412" s="13"/>
      <c r="G412" s="8">
        <f>IF(C412=C411,G411,G411+1)</f>
        <v>47</v>
      </c>
    </row>
    <row r="413" ht="12.75">
      <c r="A413" s="8">
        <v>2024</v>
      </c>
      <c r="B413" s="12" t="s">
        <v>36</v>
      </c>
      <c r="C413" s="12" t="s">
        <v>285</v>
      </c>
      <c r="D413" s="12" t="s">
        <v>93</v>
      </c>
      <c r="E413" s="13">
        <v>0</v>
      </c>
      <c r="F413" s="13"/>
      <c r="G413" s="8">
        <f>IF(C413=C412,G412,G412+1)</f>
        <v>47</v>
      </c>
    </row>
    <row r="414" ht="12.75">
      <c r="A414" s="8">
        <v>2024</v>
      </c>
      <c r="B414" s="12" t="s">
        <v>36</v>
      </c>
      <c r="C414" s="12" t="s">
        <v>285</v>
      </c>
      <c r="D414" s="12" t="s">
        <v>94</v>
      </c>
      <c r="E414" s="13">
        <v>0</v>
      </c>
      <c r="F414" s="13"/>
      <c r="G414" s="8">
        <f>IF(C414=C413,G413,G413+1)</f>
        <v>47</v>
      </c>
    </row>
    <row r="415" ht="12.75">
      <c r="A415" s="2">
        <v>2025</v>
      </c>
      <c r="B415" s="2" t="s">
        <v>6</v>
      </c>
      <c r="C415" s="9" t="s">
        <v>288</v>
      </c>
      <c r="D415" s="14" t="s">
        <v>8</v>
      </c>
      <c r="E415" s="15">
        <v>14000</v>
      </c>
      <c r="F415" s="15"/>
      <c r="G415" s="8">
        <f>IF(C415=C414,G414,G414+1)</f>
        <v>48</v>
      </c>
      <c r="H415" s="2"/>
      <c r="I415" s="2"/>
      <c r="J415" s="1"/>
    </row>
    <row r="416" ht="12.75">
      <c r="A416" s="2">
        <v>2025</v>
      </c>
      <c r="B416" s="2" t="s">
        <v>6</v>
      </c>
      <c r="C416" s="9" t="s">
        <v>239</v>
      </c>
      <c r="D416" s="14" t="s">
        <v>9</v>
      </c>
      <c r="E416" s="16">
        <v>300000</v>
      </c>
      <c r="F416" s="16"/>
      <c r="G416" s="8">
        <f>IF(C416=C415,G415,G415+1)</f>
        <v>49</v>
      </c>
      <c r="H416" s="2"/>
      <c r="I416" s="2"/>
      <c r="J416" s="1"/>
    </row>
    <row r="417" ht="12.75">
      <c r="A417" s="2">
        <v>2025</v>
      </c>
      <c r="B417" s="2" t="s">
        <v>6</v>
      </c>
      <c r="C417" s="9" t="s">
        <v>239</v>
      </c>
      <c r="D417" s="14" t="s">
        <v>10</v>
      </c>
      <c r="E417" s="17">
        <v>8000</v>
      </c>
      <c r="F417" s="17"/>
      <c r="G417" s="8">
        <f>IF(C417=C416,G416,G416+1)</f>
        <v>49</v>
      </c>
      <c r="H417" s="2"/>
      <c r="I417" s="2"/>
      <c r="J417" s="1"/>
    </row>
    <row r="418" ht="12.75">
      <c r="A418" s="2">
        <v>2025</v>
      </c>
      <c r="B418" s="2" t="s">
        <v>6</v>
      </c>
      <c r="C418" s="9" t="s">
        <v>239</v>
      </c>
      <c r="D418" s="14" t="s">
        <v>11</v>
      </c>
      <c r="E418" s="17">
        <v>7000</v>
      </c>
      <c r="F418" s="17"/>
      <c r="G418" s="8">
        <f>IF(C418=C417,G417,G417+1)</f>
        <v>49</v>
      </c>
      <c r="H418" s="2"/>
      <c r="I418" s="2"/>
      <c r="J418" s="1"/>
    </row>
    <row r="419" ht="12.75">
      <c r="A419" s="2">
        <v>2025</v>
      </c>
      <c r="B419" s="2" t="s">
        <v>6</v>
      </c>
      <c r="C419" s="9" t="s">
        <v>239</v>
      </c>
      <c r="D419" s="18" t="s">
        <v>240</v>
      </c>
      <c r="E419" s="17">
        <v>3000</v>
      </c>
      <c r="F419" s="17"/>
      <c r="G419" s="8">
        <f>IF(C419=C418,G418,G418+1)</f>
        <v>49</v>
      </c>
      <c r="H419" s="2"/>
      <c r="I419" s="2"/>
      <c r="J419" s="1"/>
    </row>
    <row r="420" ht="12.75">
      <c r="A420" s="2">
        <v>2025</v>
      </c>
      <c r="B420" s="2" t="s">
        <v>6</v>
      </c>
      <c r="C420" s="9" t="s">
        <v>239</v>
      </c>
      <c r="D420" s="18" t="s">
        <v>241</v>
      </c>
      <c r="E420" s="17">
        <v>3000</v>
      </c>
      <c r="F420" s="17"/>
      <c r="G420" s="8">
        <f>IF(C420=C419,G419,G419+1)</f>
        <v>49</v>
      </c>
      <c r="H420" s="2"/>
      <c r="I420" s="2"/>
      <c r="J420" s="1"/>
    </row>
    <row r="421" ht="12.75">
      <c r="A421" s="2">
        <v>2025</v>
      </c>
      <c r="B421" s="2" t="s">
        <v>6</v>
      </c>
      <c r="C421" s="9" t="s">
        <v>239</v>
      </c>
      <c r="D421" s="18" t="s">
        <v>242</v>
      </c>
      <c r="E421" s="17">
        <v>3000</v>
      </c>
      <c r="F421" s="17"/>
      <c r="G421" s="8">
        <f>IF(C421=C420,G420,G420+1)</f>
        <v>49</v>
      </c>
      <c r="H421" s="2"/>
      <c r="I421" s="2"/>
      <c r="J421" s="1"/>
    </row>
    <row r="422" ht="12.75">
      <c r="A422" s="2">
        <v>2025</v>
      </c>
      <c r="B422" s="2" t="s">
        <v>6</v>
      </c>
      <c r="C422" s="9" t="s">
        <v>239</v>
      </c>
      <c r="D422" s="14" t="s">
        <v>12</v>
      </c>
      <c r="E422" s="17">
        <v>1000</v>
      </c>
      <c r="F422" s="17"/>
      <c r="G422" s="8">
        <f>IF(C422=C421,G421,G421+1)</f>
        <v>49</v>
      </c>
      <c r="H422" s="2"/>
      <c r="I422" s="2"/>
      <c r="J422" s="1"/>
    </row>
    <row r="423" ht="12.75">
      <c r="A423" s="2">
        <v>2025</v>
      </c>
      <c r="B423" s="2" t="s">
        <v>6</v>
      </c>
      <c r="C423" s="9" t="s">
        <v>239</v>
      </c>
      <c r="D423" s="19" t="s">
        <v>13</v>
      </c>
      <c r="E423" s="20">
        <v>30000</v>
      </c>
      <c r="F423" s="20"/>
      <c r="G423" s="8">
        <f>IF(C423=C422,G422,G422+1)</f>
        <v>49</v>
      </c>
      <c r="H423" s="2"/>
      <c r="I423" s="2"/>
      <c r="J423" s="1"/>
    </row>
    <row r="424" ht="12.75">
      <c r="A424" s="2">
        <v>2025</v>
      </c>
      <c r="B424" s="2" t="s">
        <v>6</v>
      </c>
      <c r="C424" s="9" t="s">
        <v>239</v>
      </c>
      <c r="D424" s="18" t="s">
        <v>17</v>
      </c>
      <c r="E424" s="17">
        <v>8000</v>
      </c>
      <c r="F424" s="17"/>
      <c r="G424" s="8">
        <f>IF(C424=C423,G423,G423+1)</f>
        <v>49</v>
      </c>
      <c r="H424" s="2"/>
      <c r="I424" s="2"/>
      <c r="J424" s="1"/>
    </row>
    <row r="425" ht="12.75">
      <c r="A425" s="2">
        <v>2025</v>
      </c>
      <c r="B425" s="2" t="s">
        <v>6</v>
      </c>
      <c r="C425" s="9" t="s">
        <v>239</v>
      </c>
      <c r="D425" s="14" t="s">
        <v>243</v>
      </c>
      <c r="E425" s="17">
        <v>200</v>
      </c>
      <c r="F425" s="17"/>
      <c r="G425" s="8">
        <f>IF(C425=C424,G424,G424+1)</f>
        <v>49</v>
      </c>
      <c r="H425" s="2"/>
      <c r="I425" s="2"/>
      <c r="J425" s="1"/>
    </row>
    <row r="426" ht="12.75">
      <c r="A426" s="2">
        <v>2025</v>
      </c>
      <c r="B426" s="2" t="s">
        <v>6</v>
      </c>
      <c r="C426" s="9" t="s">
        <v>239</v>
      </c>
      <c r="D426" s="14" t="s">
        <v>244</v>
      </c>
      <c r="E426" s="21">
        <v>2000</v>
      </c>
      <c r="F426" s="21"/>
      <c r="G426" s="8">
        <f>IF(C426=C425,G425,G425+1)</f>
        <v>49</v>
      </c>
      <c r="H426" s="2"/>
      <c r="I426" s="2"/>
      <c r="J426" s="1"/>
    </row>
    <row r="427" ht="12.75">
      <c r="A427" s="2">
        <v>2025</v>
      </c>
      <c r="B427" s="2" t="s">
        <v>6</v>
      </c>
      <c r="C427" s="9" t="s">
        <v>239</v>
      </c>
      <c r="D427" s="14" t="s">
        <v>15</v>
      </c>
      <c r="E427" s="17">
        <v>0</v>
      </c>
      <c r="F427" s="17"/>
      <c r="G427" s="8">
        <f>IF(C427=C426,G426,G426+1)</f>
        <v>49</v>
      </c>
      <c r="H427" s="2"/>
      <c r="I427" s="2"/>
      <c r="J427" s="1"/>
    </row>
    <row r="428" ht="12.75">
      <c r="A428" s="2">
        <v>2025</v>
      </c>
      <c r="B428" s="2" t="s">
        <v>6</v>
      </c>
      <c r="C428" s="9" t="s">
        <v>239</v>
      </c>
      <c r="D428" s="14" t="s">
        <v>289</v>
      </c>
      <c r="E428" s="17">
        <v>0</v>
      </c>
      <c r="F428" s="17"/>
      <c r="G428" s="8">
        <f>IF(C428=C427,G427,G427+1)</f>
        <v>49</v>
      </c>
      <c r="H428" s="2"/>
      <c r="I428" s="2"/>
      <c r="J428" s="1"/>
    </row>
    <row r="429" ht="12.75">
      <c r="A429" s="2">
        <v>2025</v>
      </c>
      <c r="B429" s="2" t="s">
        <v>6</v>
      </c>
      <c r="C429" s="9" t="s">
        <v>245</v>
      </c>
      <c r="D429" s="22" t="s">
        <v>290</v>
      </c>
      <c r="E429" s="23">
        <v>40000</v>
      </c>
      <c r="F429" s="23"/>
      <c r="G429" s="8">
        <f>IF(C429=C428,G428,G428+1)</f>
        <v>50</v>
      </c>
      <c r="H429" s="2"/>
      <c r="I429" s="2"/>
      <c r="J429" s="1"/>
    </row>
    <row r="430" ht="12.75">
      <c r="A430" s="2">
        <v>2025</v>
      </c>
      <c r="B430" s="2" t="s">
        <v>6</v>
      </c>
      <c r="C430" s="9" t="s">
        <v>245</v>
      </c>
      <c r="D430" s="22" t="s">
        <v>246</v>
      </c>
      <c r="E430" s="17">
        <v>0</v>
      </c>
      <c r="F430" s="17"/>
      <c r="G430" s="8">
        <f>IF(C430=C429,G429,G429+1)</f>
        <v>50</v>
      </c>
      <c r="H430" s="2"/>
      <c r="I430" s="2"/>
      <c r="J430" s="1"/>
    </row>
    <row r="431" ht="12.75">
      <c r="A431" s="2">
        <v>2025</v>
      </c>
      <c r="B431" s="2" t="s">
        <v>6</v>
      </c>
      <c r="C431" s="9" t="s">
        <v>245</v>
      </c>
      <c r="D431" s="24" t="s">
        <v>24</v>
      </c>
      <c r="E431" s="25">
        <f>195500*0.055/0.05</f>
        <v>215050</v>
      </c>
      <c r="F431" s="25"/>
      <c r="G431" s="8">
        <f>IF(C431=C430,G430,G430+1)</f>
        <v>50</v>
      </c>
      <c r="H431" s="2"/>
      <c r="I431" s="2"/>
      <c r="J431" s="1"/>
    </row>
    <row r="432" ht="12.75">
      <c r="A432" s="2">
        <v>2025</v>
      </c>
      <c r="B432" s="2" t="s">
        <v>6</v>
      </c>
      <c r="C432" s="9" t="s">
        <v>245</v>
      </c>
      <c r="D432" s="14" t="s">
        <v>25</v>
      </c>
      <c r="E432" s="17">
        <v>140000</v>
      </c>
      <c r="F432" s="17"/>
      <c r="G432" s="8">
        <f>IF(C432=C431,G431,G431+1)</f>
        <v>50</v>
      </c>
      <c r="H432" s="2"/>
      <c r="I432" s="2"/>
      <c r="J432" s="1"/>
    </row>
    <row r="433" ht="12.75">
      <c r="A433" s="2">
        <v>2025</v>
      </c>
      <c r="B433" s="2" t="s">
        <v>6</v>
      </c>
      <c r="C433" s="9" t="s">
        <v>245</v>
      </c>
      <c r="D433" s="14" t="s">
        <v>26</v>
      </c>
      <c r="E433" s="17">
        <v>17000</v>
      </c>
      <c r="F433" s="17"/>
      <c r="G433" s="8">
        <f>IF(C433=C432,G432,G432+1)</f>
        <v>50</v>
      </c>
      <c r="H433" s="2"/>
      <c r="I433" s="2"/>
      <c r="J433" s="1"/>
    </row>
    <row r="434" ht="12.75">
      <c r="A434" s="2">
        <v>2025</v>
      </c>
      <c r="B434" s="2" t="s">
        <v>6</v>
      </c>
      <c r="C434" s="9" t="s">
        <v>245</v>
      </c>
      <c r="D434" s="22" t="s">
        <v>27</v>
      </c>
      <c r="E434" s="26">
        <v>36900</v>
      </c>
      <c r="F434" s="26"/>
      <c r="G434" s="8">
        <f>IF(C434=C433,G433,G433+1)</f>
        <v>50</v>
      </c>
      <c r="H434" s="2"/>
      <c r="I434" s="2"/>
      <c r="J434" s="1"/>
    </row>
    <row r="435" ht="12.75">
      <c r="A435" s="2">
        <v>2025</v>
      </c>
      <c r="B435" s="2" t="s">
        <v>6</v>
      </c>
      <c r="C435" s="9" t="s">
        <v>245</v>
      </c>
      <c r="D435" s="14" t="s">
        <v>28</v>
      </c>
      <c r="E435" s="26">
        <f>25100+11*400</f>
        <v>29500</v>
      </c>
      <c r="F435" s="26" t="s">
        <v>291</v>
      </c>
      <c r="G435" s="8">
        <f>IF(C435=C434,G434,G434+1)</f>
        <v>50</v>
      </c>
      <c r="H435" s="2"/>
      <c r="I435" s="2"/>
      <c r="J435" s="1"/>
    </row>
    <row r="436" ht="12.75">
      <c r="A436" s="2">
        <v>2025</v>
      </c>
      <c r="B436" s="2" t="s">
        <v>6</v>
      </c>
      <c r="C436" s="9" t="s">
        <v>247</v>
      </c>
      <c r="D436" s="14" t="s">
        <v>19</v>
      </c>
      <c r="E436" s="17">
        <v>70000</v>
      </c>
      <c r="F436" s="17"/>
      <c r="G436" s="8">
        <f>IF(C436=C435,G435,G435+1)</f>
        <v>51</v>
      </c>
      <c r="H436" s="2"/>
      <c r="I436" s="2"/>
      <c r="J436" s="1"/>
    </row>
    <row r="437" ht="12.75">
      <c r="A437" s="2">
        <v>2025</v>
      </c>
      <c r="B437" s="2" t="s">
        <v>6</v>
      </c>
      <c r="C437" s="9" t="s">
        <v>247</v>
      </c>
      <c r="D437" s="14" t="s">
        <v>20</v>
      </c>
      <c r="E437" s="17">
        <f>246500-E438-E436</f>
        <v>76500</v>
      </c>
      <c r="F437" s="17"/>
      <c r="G437" s="8">
        <f>IF(C437=C436,G436,G436+1)</f>
        <v>51</v>
      </c>
      <c r="H437" s="2"/>
      <c r="I437" s="2"/>
      <c r="J437" s="1"/>
    </row>
    <row r="438" ht="12.75">
      <c r="A438" s="2">
        <v>2025</v>
      </c>
      <c r="B438" s="2" t="s">
        <v>6</v>
      </c>
      <c r="C438" s="9" t="s">
        <v>247</v>
      </c>
      <c r="D438" s="14" t="s">
        <v>21</v>
      </c>
      <c r="E438" s="17">
        <v>100000</v>
      </c>
      <c r="F438" s="17"/>
      <c r="G438" s="8">
        <f>IF(C438=C437,G437,G437+1)</f>
        <v>51</v>
      </c>
      <c r="H438" s="2"/>
      <c r="I438" s="2"/>
      <c r="J438" s="1"/>
    </row>
    <row r="439" ht="12.75">
      <c r="A439" s="2">
        <v>2025</v>
      </c>
      <c r="B439" s="2" t="s">
        <v>6</v>
      </c>
      <c r="C439" s="9" t="s">
        <v>248</v>
      </c>
      <c r="D439" s="14" t="s">
        <v>30</v>
      </c>
      <c r="E439" s="16">
        <v>10000</v>
      </c>
      <c r="F439" s="16"/>
      <c r="G439" s="8">
        <f>IF(C439=C438,G438,G438+1)</f>
        <v>52</v>
      </c>
      <c r="H439" s="2"/>
      <c r="I439" s="2"/>
      <c r="J439" s="1"/>
    </row>
    <row r="440" ht="12.75">
      <c r="A440" s="2">
        <v>2025</v>
      </c>
      <c r="B440" s="2" t="s">
        <v>6</v>
      </c>
      <c r="C440" s="9" t="s">
        <v>248</v>
      </c>
      <c r="D440" s="14" t="s">
        <v>31</v>
      </c>
      <c r="E440" s="16">
        <v>3000</v>
      </c>
      <c r="F440" s="16"/>
      <c r="G440" s="8">
        <f>IF(C440=C439,G439,G439+1)</f>
        <v>52</v>
      </c>
      <c r="H440" s="2"/>
      <c r="I440" s="2"/>
      <c r="J440" s="1"/>
    </row>
    <row r="441" ht="12.75">
      <c r="A441" s="2">
        <v>2025</v>
      </c>
      <c r="B441" s="2" t="s">
        <v>6</v>
      </c>
      <c r="C441" s="9" t="s">
        <v>248</v>
      </c>
      <c r="D441" s="14" t="s">
        <v>32</v>
      </c>
      <c r="E441" s="16">
        <v>18000</v>
      </c>
      <c r="F441" s="16"/>
      <c r="G441" s="8">
        <f>IF(C441=C440,G440,G440+1)</f>
        <v>52</v>
      </c>
      <c r="H441" s="2"/>
      <c r="I441" s="2"/>
      <c r="J441" s="1"/>
    </row>
    <row r="442" ht="12.75">
      <c r="A442" s="2">
        <v>2025</v>
      </c>
      <c r="B442" s="2" t="s">
        <v>6</v>
      </c>
      <c r="C442" s="9" t="s">
        <v>248</v>
      </c>
      <c r="D442" s="14" t="s">
        <v>249</v>
      </c>
      <c r="E442" s="16">
        <v>1100</v>
      </c>
      <c r="F442" s="16"/>
      <c r="G442" s="8">
        <f>IF(C442=C441,G441,G441+1)</f>
        <v>52</v>
      </c>
      <c r="H442" s="2"/>
      <c r="I442" s="2"/>
      <c r="J442" s="1"/>
    </row>
    <row r="443" ht="12.75">
      <c r="A443" s="2">
        <v>2025</v>
      </c>
      <c r="B443" s="2" t="s">
        <v>6</v>
      </c>
      <c r="C443" s="9" t="s">
        <v>248</v>
      </c>
      <c r="D443" s="14" t="s">
        <v>34</v>
      </c>
      <c r="E443" s="16">
        <v>1000</v>
      </c>
      <c r="F443" s="16"/>
      <c r="G443" s="8">
        <f>IF(C443=C442,G442,G442+1)</f>
        <v>52</v>
      </c>
      <c r="H443" s="2"/>
      <c r="I443" s="2"/>
      <c r="J443" s="1"/>
    </row>
    <row r="444" ht="12.75">
      <c r="A444" s="2">
        <v>2025</v>
      </c>
      <c r="B444" s="2" t="s">
        <v>6</v>
      </c>
      <c r="C444" s="9" t="s">
        <v>248</v>
      </c>
      <c r="D444" s="14" t="s">
        <v>250</v>
      </c>
      <c r="E444" s="16">
        <v>5000</v>
      </c>
      <c r="F444" s="16"/>
      <c r="G444" s="8">
        <f>IF(C444=C443,G443,G443+1)</f>
        <v>52</v>
      </c>
      <c r="H444" s="2"/>
      <c r="I444" s="2"/>
      <c r="J444" s="1"/>
    </row>
    <row r="445" ht="12.75">
      <c r="A445" s="2">
        <v>2025</v>
      </c>
      <c r="B445" s="2" t="s">
        <v>36</v>
      </c>
      <c r="C445" s="9" t="s">
        <v>251</v>
      </c>
      <c r="D445" s="14" t="s">
        <v>209</v>
      </c>
      <c r="E445" s="27">
        <v>-2200</v>
      </c>
      <c r="F445" s="27"/>
      <c r="G445" s="8">
        <f>IF(C445=C444,G444,G444+1)</f>
        <v>53</v>
      </c>
      <c r="H445" s="2"/>
      <c r="I445" s="2"/>
      <c r="J445" s="1"/>
    </row>
    <row r="446" ht="12.75">
      <c r="A446" s="2">
        <v>2025</v>
      </c>
      <c r="B446" s="2" t="s">
        <v>36</v>
      </c>
      <c r="C446" s="9" t="s">
        <v>251</v>
      </c>
      <c r="D446" s="14" t="s">
        <v>210</v>
      </c>
      <c r="E446" s="28">
        <v>-57500</v>
      </c>
      <c r="F446" s="28"/>
      <c r="G446" s="8">
        <f>IF(C446=C445,G445,G445+1)</f>
        <v>53</v>
      </c>
      <c r="H446" s="2"/>
      <c r="I446" s="2"/>
      <c r="J446" s="1"/>
    </row>
    <row r="447" ht="12.75">
      <c r="A447" s="2">
        <v>2025</v>
      </c>
      <c r="B447" s="2" t="s">
        <v>36</v>
      </c>
      <c r="C447" s="9" t="s">
        <v>251</v>
      </c>
      <c r="D447" s="14" t="s">
        <v>211</v>
      </c>
      <c r="E447" s="28">
        <v>-10000</v>
      </c>
      <c r="F447" s="28"/>
      <c r="G447" s="8">
        <f>IF(C447=C446,G446,G446+1)</f>
        <v>53</v>
      </c>
      <c r="H447" s="2"/>
      <c r="I447" s="2"/>
      <c r="J447" s="1"/>
    </row>
    <row r="448" ht="12.75">
      <c r="A448" s="2">
        <v>2025</v>
      </c>
      <c r="B448" s="2" t="s">
        <v>36</v>
      </c>
      <c r="C448" s="9" t="s">
        <v>251</v>
      </c>
      <c r="D448" s="14" t="s">
        <v>212</v>
      </c>
      <c r="E448" s="28">
        <v>-13300</v>
      </c>
      <c r="F448" s="28"/>
      <c r="G448" s="8">
        <f>IF(C448=C447,G447,G447+1)</f>
        <v>53</v>
      </c>
      <c r="H448" s="2"/>
      <c r="I448" s="2"/>
      <c r="J448" s="1"/>
    </row>
    <row r="449" ht="12.75">
      <c r="A449" s="2">
        <v>2025</v>
      </c>
      <c r="B449" s="2" t="s">
        <v>36</v>
      </c>
      <c r="C449" s="9" t="s">
        <v>251</v>
      </c>
      <c r="D449" s="14" t="s">
        <v>213</v>
      </c>
      <c r="E449" s="28">
        <v>-7268</v>
      </c>
      <c r="F449" s="28"/>
      <c r="G449" s="8">
        <f>IF(C449=C448,G448,G448+1)</f>
        <v>53</v>
      </c>
      <c r="H449" s="2"/>
      <c r="I449" s="2"/>
      <c r="J449" s="1"/>
    </row>
    <row r="450" ht="12.75">
      <c r="A450" s="2">
        <v>2025</v>
      </c>
      <c r="B450" s="2" t="s">
        <v>36</v>
      </c>
      <c r="C450" s="9" t="s">
        <v>251</v>
      </c>
      <c r="D450" s="14" t="s">
        <v>214</v>
      </c>
      <c r="E450" s="28">
        <v>-5000</v>
      </c>
      <c r="F450" s="28"/>
      <c r="G450" s="8">
        <f>IF(C450=C449,G449,G449+1)</f>
        <v>53</v>
      </c>
      <c r="H450" s="2"/>
      <c r="I450" s="2"/>
      <c r="J450" s="1"/>
    </row>
    <row r="451" ht="12.75">
      <c r="A451" s="2">
        <v>2025</v>
      </c>
      <c r="B451" s="2" t="s">
        <v>36</v>
      </c>
      <c r="C451" s="9" t="s">
        <v>251</v>
      </c>
      <c r="D451" s="14" t="s">
        <v>215</v>
      </c>
      <c r="E451" s="28">
        <v>-37500</v>
      </c>
      <c r="F451" s="28"/>
      <c r="G451" s="8">
        <f>IF(C451=C450,G450,G450+1)</f>
        <v>53</v>
      </c>
      <c r="H451" s="2"/>
      <c r="I451" s="2"/>
      <c r="J451" s="1"/>
    </row>
    <row r="452" ht="12.75">
      <c r="A452" s="2">
        <v>2025</v>
      </c>
      <c r="B452" s="2" t="s">
        <v>36</v>
      </c>
      <c r="C452" s="9" t="s">
        <v>251</v>
      </c>
      <c r="D452" s="14" t="s">
        <v>216</v>
      </c>
      <c r="E452" s="28">
        <v>-1425</v>
      </c>
      <c r="F452" s="28"/>
      <c r="G452" s="8">
        <f>IF(C452=C451,G451,G451+1)</f>
        <v>53</v>
      </c>
      <c r="H452" s="2"/>
      <c r="I452" s="2"/>
      <c r="J452" s="1"/>
    </row>
    <row r="453" ht="12.75">
      <c r="A453" s="2">
        <v>2025</v>
      </c>
      <c r="B453" s="2" t="s">
        <v>36</v>
      </c>
      <c r="C453" s="9" t="s">
        <v>251</v>
      </c>
      <c r="D453" s="14" t="s">
        <v>292</v>
      </c>
      <c r="E453" s="29">
        <v>-10000</v>
      </c>
      <c r="F453" s="29"/>
      <c r="G453" s="8">
        <f>IF(C453=C452,G452,G452+1)</f>
        <v>53</v>
      </c>
      <c r="H453" s="2"/>
      <c r="I453" s="2"/>
      <c r="J453" s="1"/>
    </row>
    <row r="454" ht="12.75">
      <c r="A454" s="2">
        <v>2025</v>
      </c>
      <c r="B454" s="2" t="s">
        <v>36</v>
      </c>
      <c r="C454" s="9" t="s">
        <v>251</v>
      </c>
      <c r="D454" s="14" t="s">
        <v>205</v>
      </c>
      <c r="E454" s="27">
        <v>-1524</v>
      </c>
      <c r="F454" s="27"/>
      <c r="G454" s="8">
        <f>IF(C454=C453,G453,G453+1)</f>
        <v>53</v>
      </c>
      <c r="H454" s="2"/>
      <c r="I454" s="2"/>
      <c r="J454" s="1"/>
    </row>
    <row r="455" ht="12.75">
      <c r="A455" s="2">
        <v>2025</v>
      </c>
      <c r="B455" s="2" t="s">
        <v>36</v>
      </c>
      <c r="C455" s="9" t="s">
        <v>251</v>
      </c>
      <c r="D455" s="14" t="s">
        <v>206</v>
      </c>
      <c r="E455" s="27">
        <v>-44623</v>
      </c>
      <c r="F455" s="27"/>
      <c r="G455" s="8">
        <f>IF(C455=C454,G454,G454+1)</f>
        <v>53</v>
      </c>
      <c r="H455" s="2"/>
      <c r="I455" s="2"/>
      <c r="J455" s="1"/>
    </row>
    <row r="456" ht="12.75">
      <c r="A456" s="2">
        <v>2025</v>
      </c>
      <c r="B456" s="2" t="s">
        <v>36</v>
      </c>
      <c r="C456" s="9" t="s">
        <v>251</v>
      </c>
      <c r="D456" s="14" t="s">
        <v>207</v>
      </c>
      <c r="E456" s="30">
        <v>-1000</v>
      </c>
      <c r="F456" s="30"/>
      <c r="G456" s="8">
        <f>IF(C456=C455,G455,G455+1)</f>
        <v>53</v>
      </c>
      <c r="H456" s="2"/>
      <c r="I456" s="2"/>
      <c r="J456" s="1"/>
    </row>
    <row r="457" ht="12.75">
      <c r="A457" s="2">
        <v>2025</v>
      </c>
      <c r="B457" s="2" t="s">
        <v>36</v>
      </c>
      <c r="C457" s="9" t="s">
        <v>251</v>
      </c>
      <c r="D457" s="18" t="s">
        <v>252</v>
      </c>
      <c r="E457" s="27">
        <v>-18000</v>
      </c>
      <c r="F457" s="27"/>
      <c r="G457" s="8">
        <f>IF(C457=C456,G456,G456+1)</f>
        <v>53</v>
      </c>
      <c r="H457" s="2"/>
      <c r="I457" s="2"/>
      <c r="J457" s="1"/>
    </row>
    <row r="458" ht="12.75">
      <c r="A458" s="2">
        <v>2025</v>
      </c>
      <c r="B458" s="2" t="s">
        <v>36</v>
      </c>
      <c r="C458" s="9" t="s">
        <v>251</v>
      </c>
      <c r="D458" s="14" t="s">
        <v>180</v>
      </c>
      <c r="E458" s="30">
        <v>-200</v>
      </c>
      <c r="F458" s="30"/>
      <c r="G458" s="8">
        <f>IF(C458=C457,G457,G457+1)</f>
        <v>53</v>
      </c>
      <c r="H458" s="2"/>
      <c r="I458" s="2"/>
      <c r="J458" s="1"/>
    </row>
    <row r="459" ht="12.75">
      <c r="A459" s="2">
        <v>2025</v>
      </c>
      <c r="B459" s="2" t="s">
        <v>36</v>
      </c>
      <c r="C459" s="9" t="s">
        <v>251</v>
      </c>
      <c r="D459" s="14" t="s">
        <v>181</v>
      </c>
      <c r="E459" s="30">
        <v>-700</v>
      </c>
      <c r="F459" s="30"/>
      <c r="G459" s="8">
        <f>IF(C459=C458,G458,G458+1)</f>
        <v>53</v>
      </c>
      <c r="H459" s="2"/>
      <c r="I459" s="2"/>
      <c r="J459" s="1"/>
    </row>
    <row r="460" ht="12.75">
      <c r="A460" s="2">
        <v>2025</v>
      </c>
      <c r="B460" s="2" t="s">
        <v>36</v>
      </c>
      <c r="C460" s="9" t="s">
        <v>251</v>
      </c>
      <c r="D460" s="14" t="s">
        <v>182</v>
      </c>
      <c r="E460" s="30">
        <v>-12950</v>
      </c>
      <c r="F460" s="30"/>
      <c r="G460" s="8">
        <f>IF(C460=C459,G459,G459+1)</f>
        <v>53</v>
      </c>
      <c r="H460" s="2"/>
      <c r="I460" s="2"/>
      <c r="J460" s="1"/>
    </row>
    <row r="461" ht="12.75">
      <c r="A461" s="2">
        <v>2025</v>
      </c>
      <c r="B461" s="2" t="s">
        <v>36</v>
      </c>
      <c r="C461" s="9" t="s">
        <v>251</v>
      </c>
      <c r="D461" s="14" t="s">
        <v>183</v>
      </c>
      <c r="E461" s="30">
        <v>-1200</v>
      </c>
      <c r="F461" s="30"/>
      <c r="G461" s="8">
        <f>IF(C461=C460,G460,G460+1)</f>
        <v>53</v>
      </c>
      <c r="H461" s="2"/>
      <c r="I461" s="2"/>
      <c r="J461" s="1"/>
    </row>
    <row r="462" ht="12.75">
      <c r="A462" s="2">
        <v>2025</v>
      </c>
      <c r="B462" s="2" t="s">
        <v>36</v>
      </c>
      <c r="C462" s="9" t="s">
        <v>251</v>
      </c>
      <c r="D462" s="14" t="s">
        <v>184</v>
      </c>
      <c r="E462" s="30">
        <v>-250</v>
      </c>
      <c r="F462" s="30"/>
      <c r="G462" s="8">
        <f>IF(C462=C461,G461,G461+1)</f>
        <v>53</v>
      </c>
      <c r="H462" s="2"/>
      <c r="I462" s="2"/>
      <c r="J462" s="1"/>
    </row>
    <row r="463" ht="12.75">
      <c r="A463" s="2">
        <v>2025</v>
      </c>
      <c r="B463" s="2" t="s">
        <v>36</v>
      </c>
      <c r="C463" s="9" t="s">
        <v>251</v>
      </c>
      <c r="D463" s="14" t="s">
        <v>185</v>
      </c>
      <c r="E463" s="30">
        <v>-200</v>
      </c>
      <c r="F463" s="30"/>
      <c r="G463" s="8">
        <f>IF(C463=C462,G462,G462+1)</f>
        <v>53</v>
      </c>
      <c r="H463" s="2"/>
      <c r="I463" s="2"/>
      <c r="J463" s="1"/>
    </row>
    <row r="464" ht="12.75">
      <c r="A464" s="2">
        <v>2025</v>
      </c>
      <c r="B464" s="2" t="s">
        <v>36</v>
      </c>
      <c r="C464" s="9" t="s">
        <v>251</v>
      </c>
      <c r="D464" s="14" t="s">
        <v>186</v>
      </c>
      <c r="E464" s="30">
        <v>-1200</v>
      </c>
      <c r="F464" s="30"/>
      <c r="G464" s="8">
        <f>IF(C464=C463,G463,G463+1)</f>
        <v>53</v>
      </c>
      <c r="H464" s="2"/>
      <c r="I464" s="2"/>
      <c r="J464" s="1"/>
    </row>
    <row r="465" ht="12.75">
      <c r="A465" s="2">
        <v>2025</v>
      </c>
      <c r="B465" s="2" t="s">
        <v>36</v>
      </c>
      <c r="C465" s="9" t="s">
        <v>251</v>
      </c>
      <c r="D465" s="14" t="s">
        <v>187</v>
      </c>
      <c r="E465" s="30">
        <v>-200</v>
      </c>
      <c r="F465" s="30"/>
      <c r="G465" s="8">
        <f>IF(C465=C464,G464,G464+1)</f>
        <v>53</v>
      </c>
      <c r="H465" s="2"/>
      <c r="I465" s="2"/>
      <c r="J465" s="1"/>
    </row>
    <row r="466" ht="12.75">
      <c r="A466" s="2">
        <v>2025</v>
      </c>
      <c r="B466" s="2" t="s">
        <v>36</v>
      </c>
      <c r="C466" s="9" t="s">
        <v>251</v>
      </c>
      <c r="D466" s="14" t="s">
        <v>188</v>
      </c>
      <c r="E466" s="30">
        <v>-200</v>
      </c>
      <c r="F466" s="30"/>
      <c r="G466" s="8">
        <f>IF(C466=C465,G465,G465+1)</f>
        <v>53</v>
      </c>
      <c r="H466" s="2"/>
      <c r="I466" s="2"/>
      <c r="J466" s="1"/>
    </row>
    <row r="467" ht="12.75">
      <c r="A467" s="2">
        <v>2025</v>
      </c>
      <c r="B467" s="2" t="s">
        <v>36</v>
      </c>
      <c r="C467" s="9" t="s">
        <v>251</v>
      </c>
      <c r="D467" s="19" t="s">
        <v>189</v>
      </c>
      <c r="E467" s="31">
        <v>0</v>
      </c>
      <c r="F467" s="31"/>
      <c r="G467" s="8">
        <f>IF(C467=C466,G466,G466+1)</f>
        <v>53</v>
      </c>
      <c r="H467" s="2"/>
      <c r="I467" s="2"/>
      <c r="J467" s="1"/>
    </row>
    <row r="468" ht="12.75">
      <c r="A468" s="2">
        <v>2025</v>
      </c>
      <c r="B468" s="2" t="s">
        <v>36</v>
      </c>
      <c r="C468" s="9" t="s">
        <v>251</v>
      </c>
      <c r="D468" s="14" t="s">
        <v>190</v>
      </c>
      <c r="E468" s="30">
        <v>-3200</v>
      </c>
      <c r="F468" s="30"/>
      <c r="G468" s="8">
        <f>IF(C468=C467,G467,G467+1)</f>
        <v>53</v>
      </c>
      <c r="H468" s="2"/>
      <c r="I468" s="2"/>
      <c r="J468" s="1"/>
    </row>
    <row r="469" ht="12.75">
      <c r="A469" s="2">
        <v>2025</v>
      </c>
      <c r="B469" s="2" t="s">
        <v>36</v>
      </c>
      <c r="C469" s="9" t="s">
        <v>251</v>
      </c>
      <c r="D469" s="14" t="s">
        <v>191</v>
      </c>
      <c r="E469" s="30">
        <v>0</v>
      </c>
      <c r="F469" s="30"/>
      <c r="G469" s="8">
        <f>IF(C469=C468,G468,G468+1)</f>
        <v>53</v>
      </c>
      <c r="H469" s="2"/>
      <c r="I469" s="2"/>
      <c r="J469" s="1"/>
    </row>
    <row r="470" ht="12.75">
      <c r="A470" s="2">
        <v>2025</v>
      </c>
      <c r="B470" s="2" t="s">
        <v>36</v>
      </c>
      <c r="C470" s="9" t="s">
        <v>251</v>
      </c>
      <c r="D470" s="14" t="s">
        <v>192</v>
      </c>
      <c r="E470" s="30">
        <v>0</v>
      </c>
      <c r="F470" s="30"/>
      <c r="G470" s="8">
        <f>IF(C470=C469,G469,G469+1)</f>
        <v>53</v>
      </c>
      <c r="H470" s="2"/>
      <c r="I470" s="2"/>
      <c r="J470" s="1"/>
    </row>
    <row r="471" ht="12.75">
      <c r="A471" s="2">
        <v>2025</v>
      </c>
      <c r="B471" s="2" t="s">
        <v>36</v>
      </c>
      <c r="C471" s="9" t="s">
        <v>251</v>
      </c>
      <c r="D471" s="14" t="s">
        <v>193</v>
      </c>
      <c r="E471" s="30">
        <v>-100</v>
      </c>
      <c r="F471" s="30"/>
      <c r="G471" s="8">
        <f>IF(C471=C470,G470,G470+1)</f>
        <v>53</v>
      </c>
      <c r="H471" s="2"/>
      <c r="I471" s="2"/>
      <c r="J471" s="1"/>
    </row>
    <row r="472" ht="12.75">
      <c r="A472" s="2">
        <v>2025</v>
      </c>
      <c r="B472" s="2" t="s">
        <v>36</v>
      </c>
      <c r="C472" s="9" t="s">
        <v>251</v>
      </c>
      <c r="D472" s="14" t="s">
        <v>194</v>
      </c>
      <c r="E472" s="30">
        <v>-12000</v>
      </c>
      <c r="F472" s="30"/>
      <c r="G472" s="8">
        <f>IF(C472=C471,G471,G471+1)</f>
        <v>53</v>
      </c>
      <c r="H472" s="2"/>
      <c r="I472" s="2"/>
      <c r="J472" s="1"/>
    </row>
    <row r="473" ht="12.75">
      <c r="A473" s="2">
        <v>2025</v>
      </c>
      <c r="B473" s="2" t="s">
        <v>36</v>
      </c>
      <c r="C473" s="9" t="s">
        <v>251</v>
      </c>
      <c r="D473" s="19" t="s">
        <v>253</v>
      </c>
      <c r="E473" s="27">
        <v>-2000</v>
      </c>
      <c r="F473" s="27"/>
      <c r="G473" s="8">
        <f>IF(C473=C472,G472,G472+1)</f>
        <v>53</v>
      </c>
      <c r="H473" s="2"/>
      <c r="I473" s="2"/>
      <c r="J473" s="1"/>
    </row>
    <row r="474" ht="12.75">
      <c r="A474" s="2">
        <v>2025</v>
      </c>
      <c r="B474" s="2" t="s">
        <v>36</v>
      </c>
      <c r="C474" s="9" t="s">
        <v>251</v>
      </c>
      <c r="D474" s="19" t="s">
        <v>196</v>
      </c>
      <c r="E474" s="32">
        <v>0</v>
      </c>
      <c r="F474" s="32"/>
      <c r="G474" s="8">
        <f>IF(C474=C473,G473,G473+1)</f>
        <v>53</v>
      </c>
      <c r="H474" s="2"/>
      <c r="I474" s="2"/>
      <c r="J474" s="1"/>
    </row>
    <row r="475" ht="12.75">
      <c r="A475" s="2">
        <v>2025</v>
      </c>
      <c r="B475" s="2" t="s">
        <v>36</v>
      </c>
      <c r="C475" s="9" t="s">
        <v>251</v>
      </c>
      <c r="D475" s="19" t="s">
        <v>197</v>
      </c>
      <c r="E475" s="32">
        <v>-1000</v>
      </c>
      <c r="F475" s="32"/>
      <c r="G475" s="8">
        <f>IF(C475=C474,G474,G474+1)</f>
        <v>53</v>
      </c>
      <c r="H475" s="2"/>
      <c r="I475" s="2"/>
      <c r="J475" s="1"/>
    </row>
    <row r="476" ht="12.75">
      <c r="A476" s="2">
        <v>2025</v>
      </c>
      <c r="B476" s="2" t="s">
        <v>36</v>
      </c>
      <c r="C476" s="9" t="s">
        <v>251</v>
      </c>
      <c r="D476" s="33" t="s">
        <v>254</v>
      </c>
      <c r="E476" s="32">
        <v>0</v>
      </c>
      <c r="F476" s="32"/>
      <c r="G476" s="8">
        <f>IF(C476=C475,G475,G475+1)</f>
        <v>53</v>
      </c>
      <c r="H476" s="2"/>
      <c r="I476" s="2"/>
      <c r="J476" s="1"/>
    </row>
    <row r="477" ht="12.75">
      <c r="A477" s="2">
        <v>2025</v>
      </c>
      <c r="B477" s="2" t="s">
        <v>36</v>
      </c>
      <c r="C477" s="9" t="s">
        <v>251</v>
      </c>
      <c r="D477" s="14" t="s">
        <v>255</v>
      </c>
      <c r="E477" s="34">
        <v>0</v>
      </c>
      <c r="F477" s="34"/>
      <c r="G477" s="8">
        <f>IF(C477=C476,G476,G476+1)</f>
        <v>53</v>
      </c>
      <c r="H477" s="2"/>
      <c r="I477" s="2"/>
      <c r="J477" s="1"/>
    </row>
    <row r="478" ht="12.75">
      <c r="A478" s="2">
        <v>2025</v>
      </c>
      <c r="B478" s="2" t="s">
        <v>36</v>
      </c>
      <c r="C478" s="9" t="s">
        <v>251</v>
      </c>
      <c r="D478" s="14" t="s">
        <v>256</v>
      </c>
      <c r="E478" s="34">
        <v>-400</v>
      </c>
      <c r="F478" s="34"/>
      <c r="G478" s="8">
        <f>IF(C478=C477,G477,G477+1)</f>
        <v>53</v>
      </c>
      <c r="H478" s="2"/>
      <c r="I478" s="2"/>
      <c r="J478" s="1"/>
    </row>
    <row r="479" ht="12.75">
      <c r="A479" s="2">
        <v>2025</v>
      </c>
      <c r="B479" s="2" t="s">
        <v>36</v>
      </c>
      <c r="C479" s="9" t="s">
        <v>251</v>
      </c>
      <c r="D479" s="14" t="s">
        <v>293</v>
      </c>
      <c r="E479" s="34">
        <v>-1300</v>
      </c>
      <c r="F479" s="34"/>
      <c r="G479" s="8">
        <f>IF(C479=C478,G478,G478+1)</f>
        <v>53</v>
      </c>
      <c r="H479" s="2"/>
      <c r="I479" s="2"/>
      <c r="J479" s="1"/>
    </row>
    <row r="480" ht="12.75">
      <c r="A480" s="2">
        <v>2025</v>
      </c>
      <c r="B480" s="2" t="s">
        <v>36</v>
      </c>
      <c r="C480" s="9" t="s">
        <v>251</v>
      </c>
      <c r="D480" s="19" t="s">
        <v>258</v>
      </c>
      <c r="E480" s="34">
        <v>-1000</v>
      </c>
      <c r="F480" s="34"/>
      <c r="G480" s="8">
        <f>IF(C480=C479,G479,G479+1)</f>
        <v>53</v>
      </c>
      <c r="H480" s="2"/>
      <c r="I480" s="2"/>
      <c r="J480" s="1"/>
    </row>
    <row r="481" ht="12.75">
      <c r="A481" s="2">
        <v>2025</v>
      </c>
      <c r="B481" s="2" t="s">
        <v>36</v>
      </c>
      <c r="C481" s="9" t="s">
        <v>251</v>
      </c>
      <c r="D481" s="35" t="s">
        <v>294</v>
      </c>
      <c r="E481" s="34">
        <v>-1000</v>
      </c>
      <c r="F481" s="34"/>
      <c r="G481" s="8">
        <f>IF(C481=C480,G480,G480+1)</f>
        <v>53</v>
      </c>
      <c r="H481" s="2"/>
      <c r="I481" s="2"/>
      <c r="J481" s="1"/>
    </row>
    <row r="482" ht="12.75">
      <c r="A482" s="2">
        <v>2025</v>
      </c>
      <c r="B482" s="2" t="s">
        <v>36</v>
      </c>
      <c r="C482" s="9" t="s">
        <v>295</v>
      </c>
      <c r="D482" s="14" t="s">
        <v>120</v>
      </c>
      <c r="E482" s="27">
        <v>-10000</v>
      </c>
      <c r="F482" s="27"/>
      <c r="G482" s="8">
        <f>IF(C482=C481,G481,G481+1)</f>
        <v>54</v>
      </c>
      <c r="H482" s="2"/>
      <c r="I482" s="2"/>
      <c r="J482" s="1"/>
    </row>
    <row r="483" ht="12.75">
      <c r="A483" s="2">
        <v>2025</v>
      </c>
      <c r="B483" s="2" t="s">
        <v>36</v>
      </c>
      <c r="C483" s="9" t="s">
        <v>295</v>
      </c>
      <c r="D483" s="14" t="s">
        <v>121</v>
      </c>
      <c r="E483" s="27">
        <v>-14400</v>
      </c>
      <c r="F483" s="27"/>
      <c r="G483" s="8">
        <f>IF(C483=C482,G482,G482+1)</f>
        <v>54</v>
      </c>
      <c r="H483" s="2"/>
      <c r="I483" s="2"/>
      <c r="J483" s="1"/>
    </row>
    <row r="484" ht="12.75">
      <c r="A484" s="2">
        <v>2025</v>
      </c>
      <c r="B484" s="2" t="s">
        <v>36</v>
      </c>
      <c r="C484" s="9" t="s">
        <v>295</v>
      </c>
      <c r="D484" s="14" t="s">
        <v>296</v>
      </c>
      <c r="E484" s="36">
        <v>-2000</v>
      </c>
      <c r="F484" s="36"/>
      <c r="G484" s="8">
        <f>IF(C484=C483,G483,G483+1)</f>
        <v>54</v>
      </c>
      <c r="H484" s="2"/>
      <c r="I484" s="2"/>
      <c r="J484" s="1"/>
    </row>
    <row r="485" ht="12.75">
      <c r="A485" s="2">
        <v>2025</v>
      </c>
      <c r="B485" s="2" t="s">
        <v>36</v>
      </c>
      <c r="C485" s="9" t="s">
        <v>295</v>
      </c>
      <c r="D485" s="14" t="s">
        <v>122</v>
      </c>
      <c r="E485" s="27">
        <v>-42800</v>
      </c>
      <c r="F485" s="27"/>
      <c r="G485" s="8">
        <f>IF(C485=C484,G484,G484+1)</f>
        <v>54</v>
      </c>
      <c r="H485" s="2"/>
      <c r="I485" s="2"/>
      <c r="J485" s="1"/>
    </row>
    <row r="486" ht="12.75">
      <c r="A486" s="2">
        <v>2025</v>
      </c>
      <c r="B486" s="2" t="s">
        <v>36</v>
      </c>
      <c r="C486" s="9" t="s">
        <v>295</v>
      </c>
      <c r="D486" s="14" t="s">
        <v>123</v>
      </c>
      <c r="E486" s="27">
        <v>-20000</v>
      </c>
      <c r="F486" s="27"/>
      <c r="G486" s="8">
        <f>IF(C486=C485,G485,G485+1)</f>
        <v>54</v>
      </c>
      <c r="H486" s="2"/>
      <c r="I486" s="2"/>
      <c r="J486" s="1"/>
    </row>
    <row r="487" ht="12.75">
      <c r="A487" s="2">
        <v>2025</v>
      </c>
      <c r="B487" s="2" t="s">
        <v>36</v>
      </c>
      <c r="C487" s="9" t="s">
        <v>295</v>
      </c>
      <c r="D487" s="14" t="s">
        <v>124</v>
      </c>
      <c r="E487" s="27">
        <v>-1600</v>
      </c>
      <c r="F487" s="27"/>
      <c r="G487" s="8">
        <f>IF(C487=C486,G486,G486+1)</f>
        <v>54</v>
      </c>
      <c r="H487" s="2"/>
      <c r="I487" s="2"/>
      <c r="J487" s="1"/>
    </row>
    <row r="488" ht="12.75">
      <c r="A488" s="2">
        <v>2025</v>
      </c>
      <c r="B488" s="2" t="s">
        <v>36</v>
      </c>
      <c r="C488" s="9" t="s">
        <v>295</v>
      </c>
      <c r="D488" s="14" t="s">
        <v>125</v>
      </c>
      <c r="E488" s="29">
        <v>0</v>
      </c>
      <c r="F488" s="29"/>
      <c r="G488" s="8">
        <f>IF(C488=C487,G487,G487+1)</f>
        <v>54</v>
      </c>
      <c r="H488" s="2"/>
      <c r="I488" s="2"/>
      <c r="J488" s="1"/>
    </row>
    <row r="489" ht="12.75">
      <c r="A489" s="2">
        <v>2025</v>
      </c>
      <c r="B489" s="2" t="s">
        <v>36</v>
      </c>
      <c r="C489" s="9" t="s">
        <v>295</v>
      </c>
      <c r="D489" s="14" t="s">
        <v>126</v>
      </c>
      <c r="E489" s="27">
        <v>-7200</v>
      </c>
      <c r="F489" s="27"/>
      <c r="G489" s="8">
        <f>IF(C489=C488,G488,G488+1)</f>
        <v>54</v>
      </c>
      <c r="H489" s="2"/>
      <c r="I489" s="2"/>
      <c r="J489" s="1"/>
    </row>
    <row r="490" ht="12.75">
      <c r="A490" s="2">
        <v>2025</v>
      </c>
      <c r="B490" s="2" t="s">
        <v>36</v>
      </c>
      <c r="C490" s="9" t="s">
        <v>295</v>
      </c>
      <c r="D490" s="14" t="s">
        <v>127</v>
      </c>
      <c r="E490" s="27">
        <v>-7200</v>
      </c>
      <c r="F490" s="27"/>
      <c r="G490" s="8">
        <f>IF(C490=C489,G489,G489+1)</f>
        <v>54</v>
      </c>
      <c r="H490" s="2"/>
      <c r="I490" s="2"/>
      <c r="J490" s="1"/>
    </row>
    <row r="491" ht="12.75">
      <c r="A491" s="2">
        <v>2025</v>
      </c>
      <c r="B491" s="2" t="s">
        <v>36</v>
      </c>
      <c r="C491" s="9" t="s">
        <v>295</v>
      </c>
      <c r="D491" s="14" t="s">
        <v>128</v>
      </c>
      <c r="E491" s="27">
        <v>-10000</v>
      </c>
      <c r="F491" s="27"/>
      <c r="G491" s="8">
        <f>IF(C491=C490,G490,G490+1)</f>
        <v>54</v>
      </c>
      <c r="H491" s="2"/>
      <c r="I491" s="2"/>
      <c r="J491" s="1"/>
    </row>
    <row r="492" ht="12.75">
      <c r="A492" s="2">
        <v>2025</v>
      </c>
      <c r="B492" s="2" t="s">
        <v>36</v>
      </c>
      <c r="C492" s="9" t="s">
        <v>295</v>
      </c>
      <c r="D492" s="19" t="s">
        <v>130</v>
      </c>
      <c r="E492" s="37">
        <v>-36900</v>
      </c>
      <c r="F492" s="37"/>
      <c r="G492" s="8">
        <f>IF(C492=C491,G491,G491+1)</f>
        <v>54</v>
      </c>
      <c r="H492" s="2"/>
      <c r="I492" s="2"/>
      <c r="J492" s="1"/>
    </row>
    <row r="493" ht="12.75">
      <c r="A493" s="2">
        <v>2025</v>
      </c>
      <c r="B493" s="2" t="s">
        <v>36</v>
      </c>
      <c r="C493" s="9" t="s">
        <v>259</v>
      </c>
      <c r="D493" s="14" t="s">
        <v>234</v>
      </c>
      <c r="E493" s="27">
        <v>-1591</v>
      </c>
      <c r="F493" s="27"/>
      <c r="G493" s="8">
        <f>IF(C493=C492,G492,G492+1)</f>
        <v>55</v>
      </c>
      <c r="H493" s="2"/>
      <c r="I493" s="2"/>
      <c r="J493" s="1"/>
    </row>
    <row r="494" ht="12.75">
      <c r="A494" s="2">
        <v>2025</v>
      </c>
      <c r="B494" s="2" t="s">
        <v>36</v>
      </c>
      <c r="C494" s="9" t="s">
        <v>259</v>
      </c>
      <c r="D494" s="14" t="s">
        <v>235</v>
      </c>
      <c r="E494" s="27">
        <v>-20800</v>
      </c>
      <c r="F494" s="27"/>
      <c r="G494" s="8">
        <f>IF(C494=C493,G493,G493+1)</f>
        <v>55</v>
      </c>
      <c r="H494" s="2"/>
      <c r="I494" s="2"/>
      <c r="J494" s="1"/>
    </row>
    <row r="495" ht="12.75">
      <c r="A495" s="2">
        <v>2025</v>
      </c>
      <c r="B495" s="2" t="s">
        <v>36</v>
      </c>
      <c r="C495" s="9" t="s">
        <v>259</v>
      </c>
      <c r="D495" s="14" t="s">
        <v>262</v>
      </c>
      <c r="E495" s="30">
        <v>0</v>
      </c>
      <c r="F495" s="30"/>
      <c r="G495" s="8">
        <f>IF(C495=C494,G494,G494+1)</f>
        <v>55</v>
      </c>
      <c r="H495" s="2"/>
      <c r="I495" s="2"/>
      <c r="J495" s="1"/>
    </row>
    <row r="496" ht="12.75">
      <c r="A496" s="2">
        <v>2025</v>
      </c>
      <c r="B496" s="2" t="s">
        <v>36</v>
      </c>
      <c r="C496" s="9" t="s">
        <v>259</v>
      </c>
      <c r="D496" s="14" t="s">
        <v>263</v>
      </c>
      <c r="E496" s="27">
        <v>0</v>
      </c>
      <c r="F496" s="27"/>
      <c r="G496" s="8">
        <f>IF(C496=C495,G495,G495+1)</f>
        <v>55</v>
      </c>
      <c r="H496" s="2"/>
      <c r="I496" s="2"/>
      <c r="J496" s="1"/>
    </row>
    <row r="497" ht="12.75">
      <c r="A497" s="2">
        <v>2025</v>
      </c>
      <c r="B497" s="2" t="s">
        <v>36</v>
      </c>
      <c r="C497" s="9" t="s">
        <v>259</v>
      </c>
      <c r="D497" s="14" t="s">
        <v>237</v>
      </c>
      <c r="E497" s="30">
        <v>-1000</v>
      </c>
      <c r="F497" s="30"/>
      <c r="G497" s="8">
        <f>IF(C497=C496,G496,G496+1)</f>
        <v>55</v>
      </c>
      <c r="H497" s="2"/>
      <c r="I497" s="2"/>
      <c r="J497" s="1"/>
    </row>
    <row r="498" ht="12.75">
      <c r="A498" s="2">
        <v>2025</v>
      </c>
      <c r="B498" s="2" t="s">
        <v>36</v>
      </c>
      <c r="C498" s="9" t="s">
        <v>259</v>
      </c>
      <c r="D498" s="14" t="s">
        <v>219</v>
      </c>
      <c r="E498" s="30">
        <v>-200</v>
      </c>
      <c r="F498" s="30"/>
      <c r="G498" s="8">
        <f>IF(C498=C497,G497,G497+1)</f>
        <v>55</v>
      </c>
      <c r="H498" s="2"/>
      <c r="I498" s="2"/>
      <c r="J498" s="1"/>
    </row>
    <row r="499" ht="12.75">
      <c r="A499" s="2">
        <v>2025</v>
      </c>
      <c r="B499" s="2" t="s">
        <v>36</v>
      </c>
      <c r="C499" s="9" t="s">
        <v>259</v>
      </c>
      <c r="D499" s="14" t="s">
        <v>220</v>
      </c>
      <c r="E499" s="30">
        <v>-250</v>
      </c>
      <c r="F499" s="30"/>
      <c r="G499" s="8">
        <f>IF(C499=C498,G498,G498+1)</f>
        <v>55</v>
      </c>
      <c r="H499" s="2"/>
      <c r="I499" s="2"/>
      <c r="J499" s="1"/>
    </row>
    <row r="500" ht="12.75">
      <c r="A500" s="2">
        <v>2025</v>
      </c>
      <c r="B500" s="2" t="s">
        <v>36</v>
      </c>
      <c r="C500" s="9" t="s">
        <v>259</v>
      </c>
      <c r="D500" s="14" t="s">
        <v>222</v>
      </c>
      <c r="E500" s="30">
        <v>-1500</v>
      </c>
      <c r="F500" s="30"/>
      <c r="G500" s="8">
        <f>IF(C500=C499,G499,G499+1)</f>
        <v>55</v>
      </c>
      <c r="H500" s="2"/>
      <c r="I500" s="2"/>
      <c r="J500" s="1"/>
    </row>
    <row r="501" ht="12.75">
      <c r="A501" s="2">
        <v>2025</v>
      </c>
      <c r="B501" s="2" t="s">
        <v>36</v>
      </c>
      <c r="C501" s="9" t="s">
        <v>259</v>
      </c>
      <c r="D501" s="14" t="s">
        <v>260</v>
      </c>
      <c r="E501" s="31">
        <v>-3000</v>
      </c>
      <c r="F501" s="31"/>
      <c r="G501" s="8">
        <f>IF(C501=C500,G500,G500+1)</f>
        <v>55</v>
      </c>
      <c r="H501" s="2"/>
      <c r="I501" s="2"/>
      <c r="J501" s="1"/>
    </row>
    <row r="502" ht="12.75">
      <c r="A502" s="2">
        <v>2025</v>
      </c>
      <c r="B502" s="2" t="s">
        <v>36</v>
      </c>
      <c r="C502" s="9" t="s">
        <v>259</v>
      </c>
      <c r="D502" s="14" t="s">
        <v>224</v>
      </c>
      <c r="E502" s="30">
        <v>-1400</v>
      </c>
      <c r="F502" s="30"/>
      <c r="G502" s="8">
        <f>IF(C502=C501,G501,G501+1)</f>
        <v>55</v>
      </c>
      <c r="H502" s="2"/>
      <c r="I502" s="2"/>
      <c r="J502" s="1"/>
    </row>
    <row r="503" ht="12.75">
      <c r="A503" s="2">
        <v>2025</v>
      </c>
      <c r="B503" s="2" t="s">
        <v>36</v>
      </c>
      <c r="C503" s="9" t="s">
        <v>259</v>
      </c>
      <c r="D503" s="14" t="s">
        <v>225</v>
      </c>
      <c r="E503" s="30">
        <v>-200</v>
      </c>
      <c r="F503" s="30"/>
      <c r="G503" s="8">
        <f>IF(C503=C502,G502,G502+1)</f>
        <v>55</v>
      </c>
      <c r="H503" s="2"/>
      <c r="I503" s="2"/>
      <c r="J503" s="1"/>
    </row>
    <row r="504" ht="12.75">
      <c r="A504" s="2">
        <v>2025</v>
      </c>
      <c r="B504" s="2" t="s">
        <v>36</v>
      </c>
      <c r="C504" s="9" t="s">
        <v>259</v>
      </c>
      <c r="D504" s="14" t="s">
        <v>226</v>
      </c>
      <c r="E504" s="30">
        <v>-300</v>
      </c>
      <c r="F504" s="30"/>
      <c r="G504" s="8">
        <f>IF(C504=C503,G503,G503+1)</f>
        <v>55</v>
      </c>
      <c r="H504" s="2"/>
      <c r="I504" s="2"/>
      <c r="J504" s="1"/>
    </row>
    <row r="505" ht="12.75">
      <c r="A505" s="2">
        <v>2025</v>
      </c>
      <c r="B505" s="2" t="s">
        <v>36</v>
      </c>
      <c r="C505" s="9" t="s">
        <v>259</v>
      </c>
      <c r="D505" s="14" t="s">
        <v>261</v>
      </c>
      <c r="E505" s="30">
        <v>-20000</v>
      </c>
      <c r="F505" s="30"/>
      <c r="G505" s="8">
        <f>IF(C505=C504,G504,G504+1)</f>
        <v>55</v>
      </c>
      <c r="H505" s="2"/>
      <c r="I505" s="2"/>
      <c r="J505" s="1"/>
    </row>
    <row r="506" ht="12.75">
      <c r="A506" s="2">
        <v>2025</v>
      </c>
      <c r="B506" s="2" t="s">
        <v>36</v>
      </c>
      <c r="C506" s="9" t="s">
        <v>259</v>
      </c>
      <c r="D506" s="14" t="s">
        <v>228</v>
      </c>
      <c r="E506" s="30">
        <v>-150</v>
      </c>
      <c r="F506" s="30"/>
      <c r="G506" s="8">
        <f>IF(C506=C505,G505,G505+1)</f>
        <v>55</v>
      </c>
      <c r="H506" s="2"/>
      <c r="I506" s="2"/>
      <c r="J506" s="1"/>
    </row>
    <row r="507" ht="12.75">
      <c r="A507" s="2">
        <v>2025</v>
      </c>
      <c r="B507" s="2" t="s">
        <v>36</v>
      </c>
      <c r="C507" s="9" t="s">
        <v>259</v>
      </c>
      <c r="D507" s="14" t="s">
        <v>229</v>
      </c>
      <c r="E507" s="30">
        <v>-200</v>
      </c>
      <c r="F507" s="30"/>
      <c r="G507" s="8">
        <f>IF(C507=C506,G506,G506+1)</f>
        <v>55</v>
      </c>
      <c r="H507" s="2"/>
      <c r="I507" s="2"/>
      <c r="J507" s="1"/>
    </row>
    <row r="508" ht="12.75">
      <c r="A508" s="2">
        <v>2025</v>
      </c>
      <c r="B508" s="2" t="s">
        <v>36</v>
      </c>
      <c r="C508" s="9" t="s">
        <v>259</v>
      </c>
      <c r="D508" s="14" t="s">
        <v>230</v>
      </c>
      <c r="E508" s="30">
        <v>-200</v>
      </c>
      <c r="F508" s="30"/>
      <c r="G508" s="8">
        <f>IF(C508=C507,G507,G507+1)</f>
        <v>55</v>
      </c>
      <c r="H508" s="2"/>
      <c r="I508" s="2"/>
      <c r="J508" s="1"/>
    </row>
    <row r="509" ht="12.75">
      <c r="A509" s="2">
        <v>2025</v>
      </c>
      <c r="B509" s="2" t="s">
        <v>36</v>
      </c>
      <c r="C509" s="9" t="s">
        <v>259</v>
      </c>
      <c r="D509" s="14" t="s">
        <v>231</v>
      </c>
      <c r="E509" s="30">
        <v>-200</v>
      </c>
      <c r="F509" s="30"/>
      <c r="G509" s="8">
        <f>IF(C509=C508,G508,G508+1)</f>
        <v>55</v>
      </c>
      <c r="H509" s="2"/>
      <c r="I509" s="2"/>
      <c r="J509" s="1"/>
    </row>
    <row r="510" ht="12.75">
      <c r="A510" s="2">
        <v>2025</v>
      </c>
      <c r="B510" s="2" t="s">
        <v>36</v>
      </c>
      <c r="C510" s="9" t="s">
        <v>259</v>
      </c>
      <c r="D510" s="14" t="s">
        <v>232</v>
      </c>
      <c r="E510" s="30">
        <v>-1000</v>
      </c>
      <c r="F510" s="30"/>
      <c r="G510" s="8">
        <f>IF(C510=C509,G509,G509+1)</f>
        <v>55</v>
      </c>
      <c r="H510" s="2"/>
      <c r="I510" s="2"/>
      <c r="J510" s="1"/>
    </row>
    <row r="511" ht="12.75">
      <c r="A511" s="2">
        <v>2025</v>
      </c>
      <c r="B511" s="2" t="s">
        <v>36</v>
      </c>
      <c r="C511" s="9" t="s">
        <v>297</v>
      </c>
      <c r="D511" s="18" t="s">
        <v>96</v>
      </c>
      <c r="E511" s="29">
        <v>-13337</v>
      </c>
      <c r="F511" s="29"/>
      <c r="G511" s="8">
        <f>IF(C511=C510,G510,G510+1)</f>
        <v>56</v>
      </c>
      <c r="H511" s="2"/>
      <c r="I511" s="2"/>
      <c r="J511" s="1"/>
    </row>
    <row r="512" ht="12.75">
      <c r="A512" s="2">
        <v>2025</v>
      </c>
      <c r="B512" s="2" t="s">
        <v>36</v>
      </c>
      <c r="C512" s="9" t="s">
        <v>297</v>
      </c>
      <c r="D512" s="14" t="s">
        <v>98</v>
      </c>
      <c r="E512" s="27">
        <v>-200</v>
      </c>
      <c r="F512" s="27"/>
      <c r="G512" s="8">
        <f>IF(C512=C511,G511,G511+1)</f>
        <v>56</v>
      </c>
      <c r="H512" s="2"/>
      <c r="I512" s="2"/>
      <c r="J512" s="1"/>
    </row>
    <row r="513" ht="12.75">
      <c r="A513" s="2">
        <v>2025</v>
      </c>
      <c r="B513" s="2" t="s">
        <v>36</v>
      </c>
      <c r="C513" s="9" t="s">
        <v>297</v>
      </c>
      <c r="D513" s="19" t="s">
        <v>137</v>
      </c>
      <c r="E513" s="27">
        <v>-10500</v>
      </c>
      <c r="F513" s="27"/>
      <c r="G513" s="8">
        <f>IF(C513=C512,G512,G512+1)</f>
        <v>56</v>
      </c>
      <c r="H513" s="2"/>
      <c r="I513" s="2"/>
      <c r="J513" s="1"/>
    </row>
    <row r="514" ht="12.75">
      <c r="A514" s="2">
        <v>2025</v>
      </c>
      <c r="B514" s="2" t="s">
        <v>36</v>
      </c>
      <c r="C514" s="9" t="s">
        <v>297</v>
      </c>
      <c r="D514" s="14" t="s">
        <v>138</v>
      </c>
      <c r="E514" s="27">
        <v>-200</v>
      </c>
      <c r="F514" s="27"/>
      <c r="G514" s="8">
        <f>IF(C514=C513,G513,G513+1)</f>
        <v>56</v>
      </c>
      <c r="H514" s="2"/>
      <c r="I514" s="2"/>
      <c r="J514" s="1"/>
    </row>
    <row r="515" ht="12.75">
      <c r="A515" s="2">
        <v>2025</v>
      </c>
      <c r="B515" s="2" t="s">
        <v>36</v>
      </c>
      <c r="C515" s="9" t="s">
        <v>297</v>
      </c>
      <c r="D515" s="14" t="s">
        <v>268</v>
      </c>
      <c r="E515" s="27">
        <v>-2000</v>
      </c>
      <c r="F515" s="27"/>
      <c r="G515" s="8">
        <f>IF(C515=C514,G514,G514+1)</f>
        <v>56</v>
      </c>
      <c r="H515" s="2"/>
      <c r="I515" s="2"/>
      <c r="J515" s="1"/>
    </row>
    <row r="516" ht="12.75">
      <c r="A516" s="2">
        <v>2025</v>
      </c>
      <c r="B516" s="2" t="s">
        <v>36</v>
      </c>
      <c r="C516" s="9" t="s">
        <v>297</v>
      </c>
      <c r="D516" s="18" t="s">
        <v>269</v>
      </c>
      <c r="E516" s="27">
        <v>-1000</v>
      </c>
      <c r="F516" s="27"/>
      <c r="G516" s="8">
        <f>IF(C516=C515,G515,G515+1)</f>
        <v>56</v>
      </c>
      <c r="H516" s="2"/>
      <c r="I516" s="2"/>
      <c r="J516" s="1"/>
    </row>
    <row r="517" ht="12.75">
      <c r="A517" s="2">
        <v>2025</v>
      </c>
      <c r="B517" s="2" t="s">
        <v>36</v>
      </c>
      <c r="C517" s="9" t="s">
        <v>297</v>
      </c>
      <c r="D517" s="14" t="s">
        <v>142</v>
      </c>
      <c r="E517" s="30">
        <v>-6000</v>
      </c>
      <c r="F517" s="30"/>
      <c r="G517" s="8">
        <f>IF(C517=C516,G516,G516+1)</f>
        <v>56</v>
      </c>
      <c r="H517" s="2"/>
      <c r="I517" s="2"/>
      <c r="J517" s="1"/>
    </row>
    <row r="518" ht="12.75">
      <c r="A518" s="2">
        <v>2025</v>
      </c>
      <c r="B518" s="2" t="s">
        <v>36</v>
      </c>
      <c r="C518" s="9" t="s">
        <v>297</v>
      </c>
      <c r="D518" s="14" t="s">
        <v>143</v>
      </c>
      <c r="E518" s="30">
        <v>0</v>
      </c>
      <c r="F518" s="30"/>
      <c r="G518" s="8">
        <f>IF(C518=C517,G517,G517+1)</f>
        <v>56</v>
      </c>
      <c r="H518" s="2"/>
      <c r="I518" s="2"/>
      <c r="J518" s="1"/>
    </row>
    <row r="519" ht="12.75">
      <c r="A519" s="2">
        <v>2025</v>
      </c>
      <c r="B519" s="2" t="s">
        <v>36</v>
      </c>
      <c r="C519" s="9" t="s">
        <v>297</v>
      </c>
      <c r="D519" s="14" t="s">
        <v>270</v>
      </c>
      <c r="E519" s="27">
        <v>0</v>
      </c>
      <c r="F519" s="27"/>
      <c r="G519" s="8">
        <f>IF(C519=C518,G518,G518+1)</f>
        <v>56</v>
      </c>
      <c r="H519" s="2"/>
      <c r="I519" s="2"/>
      <c r="J519" s="1"/>
    </row>
    <row r="520" ht="12.75">
      <c r="A520" s="2">
        <v>2025</v>
      </c>
      <c r="B520" s="2" t="s">
        <v>36</v>
      </c>
      <c r="C520" s="9" t="s">
        <v>297</v>
      </c>
      <c r="D520" s="38" t="s">
        <v>298</v>
      </c>
      <c r="E520" s="39">
        <v>0</v>
      </c>
      <c r="F520" s="39"/>
      <c r="G520" s="8">
        <f>IF(C520=C519,G519,G519+1)</f>
        <v>56</v>
      </c>
      <c r="H520" s="2"/>
      <c r="I520" s="2"/>
      <c r="J520" s="1"/>
    </row>
    <row r="521" ht="12.75">
      <c r="A521" s="2">
        <v>2025</v>
      </c>
      <c r="B521" s="2" t="s">
        <v>36</v>
      </c>
      <c r="C521" s="9" t="s">
        <v>299</v>
      </c>
      <c r="D521" s="24" t="s">
        <v>115</v>
      </c>
      <c r="E521" s="30">
        <v>0</v>
      </c>
      <c r="F521" s="30"/>
      <c r="G521" s="8">
        <f>IF(C521=C520,G520,G520+1)</f>
        <v>57</v>
      </c>
      <c r="H521" s="2"/>
      <c r="I521" s="2"/>
      <c r="J521" s="1"/>
    </row>
    <row r="522" ht="12.75">
      <c r="A522" s="2">
        <v>2025</v>
      </c>
      <c r="B522" s="2" t="s">
        <v>36</v>
      </c>
      <c r="C522" s="9" t="s">
        <v>299</v>
      </c>
      <c r="D522" s="14" t="s">
        <v>116</v>
      </c>
      <c r="E522" s="30">
        <v>-500</v>
      </c>
      <c r="F522" s="30"/>
      <c r="G522" s="8">
        <f>IF(C522=C521,G521,G521+1)</f>
        <v>57</v>
      </c>
      <c r="H522" s="2"/>
      <c r="I522" s="2"/>
      <c r="J522" s="1"/>
    </row>
    <row r="523" ht="12.75">
      <c r="A523" s="2">
        <v>2025</v>
      </c>
      <c r="B523" s="2" t="s">
        <v>36</v>
      </c>
      <c r="C523" s="9" t="s">
        <v>299</v>
      </c>
      <c r="D523" s="40" t="s">
        <v>272</v>
      </c>
      <c r="E523" s="41">
        <v>-5000</v>
      </c>
      <c r="F523" s="41"/>
      <c r="G523" s="8">
        <f>IF(C523=C522,G522,G522+1)</f>
        <v>57</v>
      </c>
      <c r="H523" s="2"/>
      <c r="I523" s="2"/>
      <c r="J523" s="1"/>
    </row>
    <row r="524" ht="12.75">
      <c r="A524" s="2">
        <v>2025</v>
      </c>
      <c r="B524" s="2" t="s">
        <v>36</v>
      </c>
      <c r="C524" s="9" t="s">
        <v>299</v>
      </c>
      <c r="D524" s="14" t="s">
        <v>58</v>
      </c>
      <c r="E524" s="30">
        <v>-200</v>
      </c>
      <c r="F524" s="30"/>
      <c r="G524" s="8">
        <f>IF(C524=C523,G523,G523+1)</f>
        <v>57</v>
      </c>
      <c r="H524" s="2"/>
      <c r="I524" s="2"/>
      <c r="J524" s="1"/>
    </row>
    <row r="525" ht="12.75">
      <c r="A525" s="2">
        <v>2025</v>
      </c>
      <c r="B525" s="2" t="s">
        <v>36</v>
      </c>
      <c r="C525" s="9" t="s">
        <v>299</v>
      </c>
      <c r="D525" s="14" t="s">
        <v>59</v>
      </c>
      <c r="E525" s="30">
        <v>-150</v>
      </c>
      <c r="F525" s="30"/>
      <c r="G525" s="8">
        <f>IF(C525=C524,G524,G524+1)</f>
        <v>57</v>
      </c>
      <c r="H525" s="2"/>
      <c r="I525" s="2"/>
      <c r="J525" s="1"/>
    </row>
    <row r="526" ht="12.75">
      <c r="A526" s="2">
        <v>2025</v>
      </c>
      <c r="B526" s="2" t="s">
        <v>36</v>
      </c>
      <c r="C526" s="9" t="s">
        <v>299</v>
      </c>
      <c r="D526" s="14" t="s">
        <v>60</v>
      </c>
      <c r="E526" s="30">
        <v>-450</v>
      </c>
      <c r="F526" s="30"/>
      <c r="G526" s="8">
        <f>IF(C526=C525,G525,G525+1)</f>
        <v>57</v>
      </c>
      <c r="H526" s="2"/>
      <c r="I526" s="2"/>
      <c r="J526" s="1"/>
    </row>
    <row r="527" ht="12.75">
      <c r="A527" s="2">
        <v>2025</v>
      </c>
      <c r="B527" s="2" t="s">
        <v>36</v>
      </c>
      <c r="C527" s="9" t="s">
        <v>299</v>
      </c>
      <c r="D527" s="14" t="s">
        <v>117</v>
      </c>
      <c r="E527" s="30">
        <v>-200</v>
      </c>
      <c r="F527" s="30"/>
      <c r="G527" s="8">
        <f>IF(C527=C526,G526,G526+1)</f>
        <v>57</v>
      </c>
      <c r="H527" s="2"/>
      <c r="I527" s="2"/>
      <c r="J527" s="1"/>
    </row>
    <row r="528" ht="12.75">
      <c r="A528" s="2">
        <v>2025</v>
      </c>
      <c r="B528" s="2" t="s">
        <v>36</v>
      </c>
      <c r="C528" s="9" t="s">
        <v>299</v>
      </c>
      <c r="D528" s="14" t="s">
        <v>61</v>
      </c>
      <c r="E528" s="30">
        <v>-150</v>
      </c>
      <c r="F528" s="30"/>
      <c r="G528" s="8">
        <f>IF(C528=C527,G527,G527+1)</f>
        <v>57</v>
      </c>
      <c r="H528" s="2"/>
      <c r="I528" s="2"/>
      <c r="J528" s="1"/>
    </row>
    <row r="529" ht="12.75">
      <c r="A529" s="2">
        <v>2025</v>
      </c>
      <c r="B529" s="2" t="s">
        <v>36</v>
      </c>
      <c r="C529" s="9" t="s">
        <v>299</v>
      </c>
      <c r="D529" s="14" t="s">
        <v>62</v>
      </c>
      <c r="E529" s="30">
        <v>-800</v>
      </c>
      <c r="F529" s="30"/>
      <c r="G529" s="8">
        <f>IF(C529=C528,G528,G528+1)</f>
        <v>57</v>
      </c>
      <c r="H529" s="2"/>
      <c r="I529" s="2"/>
      <c r="J529" s="1"/>
    </row>
    <row r="530" ht="12.75">
      <c r="A530" s="2">
        <v>2025</v>
      </c>
      <c r="B530" s="2" t="s">
        <v>36</v>
      </c>
      <c r="C530" s="9" t="s">
        <v>299</v>
      </c>
      <c r="D530" s="14" t="s">
        <v>63</v>
      </c>
      <c r="E530" s="30">
        <v>-150</v>
      </c>
      <c r="F530" s="30"/>
      <c r="G530" s="8">
        <f>IF(C530=C529,G529,G529+1)</f>
        <v>57</v>
      </c>
      <c r="H530" s="2"/>
      <c r="I530" s="2"/>
      <c r="J530" s="1"/>
    </row>
    <row r="531" ht="12.75">
      <c r="A531" s="2">
        <v>2025</v>
      </c>
      <c r="B531" s="2" t="s">
        <v>36</v>
      </c>
      <c r="C531" s="9" t="s">
        <v>299</v>
      </c>
      <c r="D531" s="14" t="s">
        <v>118</v>
      </c>
      <c r="E531" s="30">
        <v>-200</v>
      </c>
      <c r="F531" s="30"/>
      <c r="G531" s="8">
        <f>IF(C531=C530,G530,G530+1)</f>
        <v>57</v>
      </c>
      <c r="H531" s="2"/>
      <c r="I531" s="2"/>
      <c r="J531" s="1"/>
    </row>
    <row r="532" ht="12.75">
      <c r="A532" s="2">
        <v>2025</v>
      </c>
      <c r="B532" s="2" t="s">
        <v>36</v>
      </c>
      <c r="C532" s="9" t="s">
        <v>300</v>
      </c>
      <c r="D532" s="14" t="s">
        <v>75</v>
      </c>
      <c r="E532" s="28">
        <v>0</v>
      </c>
      <c r="F532" s="28"/>
      <c r="G532" s="8">
        <f>IF(C532=C531,G531,G531+1)</f>
        <v>58</v>
      </c>
      <c r="H532" s="2"/>
      <c r="I532" s="2"/>
      <c r="J532" s="1"/>
    </row>
    <row r="533" ht="12.75">
      <c r="A533" s="2">
        <v>2025</v>
      </c>
      <c r="B533" s="2" t="s">
        <v>36</v>
      </c>
      <c r="C533" s="9" t="s">
        <v>300</v>
      </c>
      <c r="D533" s="14" t="s">
        <v>76</v>
      </c>
      <c r="E533" s="28">
        <v>0</v>
      </c>
      <c r="F533" s="28"/>
      <c r="G533" s="8">
        <f>IF(C533=C532,G532,G532+1)</f>
        <v>58</v>
      </c>
      <c r="H533" s="2"/>
      <c r="I533" s="2"/>
      <c r="J533" s="1"/>
    </row>
    <row r="534" ht="12.75">
      <c r="A534" s="2">
        <v>2025</v>
      </c>
      <c r="B534" s="2" t="s">
        <v>36</v>
      </c>
      <c r="C534" s="9" t="s">
        <v>300</v>
      </c>
      <c r="D534" s="14" t="s">
        <v>77</v>
      </c>
      <c r="E534" s="28">
        <v>0</v>
      </c>
      <c r="F534" s="28"/>
      <c r="G534" s="8">
        <f>IF(C534=C533,G533,G533+1)</f>
        <v>58</v>
      </c>
      <c r="H534" s="2"/>
      <c r="I534" s="2"/>
      <c r="J534" s="1"/>
    </row>
    <row r="535" ht="12.75">
      <c r="A535" s="2">
        <v>2025</v>
      </c>
      <c r="B535" s="2" t="s">
        <v>36</v>
      </c>
      <c r="C535" s="9" t="s">
        <v>300</v>
      </c>
      <c r="D535" s="14" t="s">
        <v>78</v>
      </c>
      <c r="E535" s="28">
        <v>0</v>
      </c>
      <c r="F535" s="28"/>
      <c r="G535" s="8">
        <f>IF(C535=C534,G534,G534+1)</f>
        <v>58</v>
      </c>
      <c r="H535" s="2"/>
      <c r="I535" s="2"/>
      <c r="J535" s="1"/>
    </row>
    <row r="536" ht="12.75">
      <c r="A536" s="2">
        <v>2025</v>
      </c>
      <c r="B536" s="2" t="s">
        <v>36</v>
      </c>
      <c r="C536" s="9" t="s">
        <v>300</v>
      </c>
      <c r="D536" s="14" t="s">
        <v>79</v>
      </c>
      <c r="E536" s="28">
        <v>0</v>
      </c>
      <c r="F536" s="28"/>
      <c r="G536" s="8">
        <f>IF(C536=C535,G535,G535+1)</f>
        <v>58</v>
      </c>
      <c r="H536" s="2"/>
      <c r="I536" s="2"/>
      <c r="J536" s="1"/>
    </row>
    <row r="537" ht="12.75">
      <c r="A537" s="2">
        <v>2025</v>
      </c>
      <c r="B537" s="2" t="s">
        <v>36</v>
      </c>
      <c r="C537" s="9" t="s">
        <v>300</v>
      </c>
      <c r="D537" s="14" t="s">
        <v>80</v>
      </c>
      <c r="E537" s="28">
        <v>0</v>
      </c>
      <c r="F537" s="28"/>
      <c r="G537" s="8">
        <f>IF(C537=C536,G536,G536+1)</f>
        <v>58</v>
      </c>
      <c r="H537" s="2"/>
      <c r="I537" s="2"/>
      <c r="J537" s="1"/>
    </row>
    <row r="538" ht="12.75">
      <c r="A538" s="2">
        <v>2025</v>
      </c>
      <c r="B538" s="2" t="s">
        <v>36</v>
      </c>
      <c r="C538" s="9" t="s">
        <v>300</v>
      </c>
      <c r="D538" s="14" t="s">
        <v>81</v>
      </c>
      <c r="E538" s="28">
        <v>0</v>
      </c>
      <c r="F538" s="28"/>
      <c r="G538" s="8">
        <f>IF(C538=C537,G537,G537+1)</f>
        <v>58</v>
      </c>
      <c r="H538" s="2"/>
      <c r="I538" s="2"/>
      <c r="J538" s="1"/>
    </row>
    <row r="539" ht="12.75">
      <c r="A539" s="2">
        <v>2025</v>
      </c>
      <c r="B539" s="2" t="s">
        <v>36</v>
      </c>
      <c r="C539" s="9" t="s">
        <v>300</v>
      </c>
      <c r="D539" s="14" t="s">
        <v>82</v>
      </c>
      <c r="E539" s="28">
        <v>0</v>
      </c>
      <c r="F539" s="28"/>
      <c r="G539" s="8">
        <f>IF(C539=C538,G538,G538+1)</f>
        <v>58</v>
      </c>
      <c r="H539" s="2"/>
      <c r="I539" s="2"/>
      <c r="J539" s="1"/>
    </row>
    <row r="540" ht="12.75">
      <c r="A540" s="2">
        <v>2025</v>
      </c>
      <c r="B540" s="2" t="s">
        <v>36</v>
      </c>
      <c r="C540" s="9" t="s">
        <v>300</v>
      </c>
      <c r="D540" s="14" t="s">
        <v>69</v>
      </c>
      <c r="E540" s="30">
        <v>-300</v>
      </c>
      <c r="F540" s="30"/>
      <c r="G540" s="8">
        <f>IF(C540=C539,G539,G539+1)</f>
        <v>58</v>
      </c>
      <c r="H540" s="2"/>
      <c r="I540" s="2"/>
      <c r="J540" s="1"/>
    </row>
    <row r="541" ht="12.75">
      <c r="A541" s="2">
        <v>2025</v>
      </c>
      <c r="B541" s="2" t="s">
        <v>36</v>
      </c>
      <c r="C541" s="9" t="s">
        <v>300</v>
      </c>
      <c r="D541" s="14" t="s">
        <v>70</v>
      </c>
      <c r="E541" s="30">
        <v>-200</v>
      </c>
      <c r="F541" s="30"/>
      <c r="G541" s="8">
        <f>IF(C541=C540,G540,G540+1)</f>
        <v>58</v>
      </c>
      <c r="H541" s="2"/>
      <c r="I541" s="2"/>
      <c r="J541" s="1"/>
    </row>
    <row r="542" ht="12.75">
      <c r="A542" s="2">
        <v>2025</v>
      </c>
      <c r="B542" s="2" t="s">
        <v>36</v>
      </c>
      <c r="C542" s="9" t="s">
        <v>300</v>
      </c>
      <c r="D542" s="14" t="s">
        <v>71</v>
      </c>
      <c r="E542" s="30">
        <v>-500</v>
      </c>
      <c r="F542" s="30"/>
      <c r="G542" s="8">
        <f>IF(C542=C541,G541,G541+1)</f>
        <v>58</v>
      </c>
      <c r="H542" s="2"/>
      <c r="I542" s="2"/>
      <c r="J542" s="1"/>
    </row>
    <row r="543" ht="12.75">
      <c r="A543" s="2">
        <v>2025</v>
      </c>
      <c r="B543" s="2" t="s">
        <v>36</v>
      </c>
      <c r="C543" s="9" t="s">
        <v>300</v>
      </c>
      <c r="D543" s="14" t="s">
        <v>72</v>
      </c>
      <c r="E543" s="30">
        <v>-100</v>
      </c>
      <c r="F543" s="30"/>
      <c r="G543" s="8">
        <f>IF(C543=C542,G542,G542+1)</f>
        <v>58</v>
      </c>
      <c r="H543" s="2"/>
      <c r="I543" s="2"/>
      <c r="J543" s="1"/>
    </row>
    <row r="544" ht="12.75">
      <c r="A544" s="2">
        <v>2025</v>
      </c>
      <c r="B544" s="2" t="s">
        <v>36</v>
      </c>
      <c r="C544" s="9" t="s">
        <v>300</v>
      </c>
      <c r="D544" s="14" t="s">
        <v>73</v>
      </c>
      <c r="E544" s="30">
        <v>-300</v>
      </c>
      <c r="F544" s="30"/>
      <c r="G544" s="8">
        <f>IF(C544=C543,G543,G543+1)</f>
        <v>58</v>
      </c>
      <c r="H544" s="2"/>
      <c r="I544" s="2"/>
      <c r="J544" s="1"/>
    </row>
    <row r="545" ht="12.75">
      <c r="A545" s="2">
        <v>2025</v>
      </c>
      <c r="B545" s="2" t="s">
        <v>36</v>
      </c>
      <c r="C545" s="9" t="s">
        <v>301</v>
      </c>
      <c r="D545" s="14" t="s">
        <v>132</v>
      </c>
      <c r="E545" s="30">
        <v>-1500</v>
      </c>
      <c r="F545" s="30"/>
      <c r="G545" s="8">
        <f>IF(C545=C544,G544,G544+1)</f>
        <v>59</v>
      </c>
      <c r="H545" s="2"/>
      <c r="I545" s="2"/>
      <c r="J545" s="1"/>
    </row>
    <row r="546" ht="12.75">
      <c r="A546" s="2">
        <v>2025</v>
      </c>
      <c r="B546" s="2" t="s">
        <v>36</v>
      </c>
      <c r="C546" s="9" t="s">
        <v>301</v>
      </c>
      <c r="D546" s="14" t="s">
        <v>133</v>
      </c>
      <c r="E546" s="30">
        <v>-500</v>
      </c>
      <c r="F546" s="30"/>
      <c r="G546" s="8">
        <f>IF(C546=C545,G545,G545+1)</f>
        <v>59</v>
      </c>
      <c r="H546" s="2"/>
      <c r="I546" s="2"/>
      <c r="J546" s="1"/>
    </row>
    <row r="547" ht="12.75">
      <c r="A547" s="2">
        <v>2025</v>
      </c>
      <c r="B547" s="2" t="s">
        <v>36</v>
      </c>
      <c r="C547" s="9" t="s">
        <v>301</v>
      </c>
      <c r="D547" s="14" t="s">
        <v>134</v>
      </c>
      <c r="E547" s="30">
        <v>-300</v>
      </c>
      <c r="F547" s="30"/>
      <c r="G547" s="8">
        <f>IF(C547=C546,G546,G546+1)</f>
        <v>59</v>
      </c>
      <c r="H547" s="2"/>
      <c r="I547" s="2"/>
      <c r="J547" s="1"/>
    </row>
    <row r="548" ht="12.75">
      <c r="A548" s="2">
        <v>2025</v>
      </c>
      <c r="B548" s="2" t="s">
        <v>36</v>
      </c>
      <c r="C548" s="9" t="s">
        <v>301</v>
      </c>
      <c r="D548" s="14" t="s">
        <v>135</v>
      </c>
      <c r="E548" s="30">
        <v>-300</v>
      </c>
      <c r="F548" s="30"/>
      <c r="G548" s="8">
        <f>IF(C548=C547,G547,G547+1)</f>
        <v>59</v>
      </c>
      <c r="H548" s="2"/>
      <c r="I548" s="2"/>
      <c r="J548" s="1"/>
    </row>
    <row r="549" ht="12.75">
      <c r="A549" s="2">
        <v>2025</v>
      </c>
      <c r="B549" s="2" t="s">
        <v>36</v>
      </c>
      <c r="C549" s="9" t="s">
        <v>301</v>
      </c>
      <c r="D549" s="14" t="s">
        <v>302</v>
      </c>
      <c r="E549" s="30">
        <f>11*-400</f>
        <v>-4400</v>
      </c>
      <c r="F549" s="30" t="s">
        <v>291</v>
      </c>
      <c r="G549" s="8">
        <f>IF(C549=C548,G548,G548+1)</f>
        <v>59</v>
      </c>
      <c r="H549" s="2"/>
      <c r="I549" s="2"/>
      <c r="J549" s="1"/>
    </row>
    <row r="550" ht="12.75">
      <c r="A550" s="2">
        <v>2025</v>
      </c>
      <c r="B550" s="2" t="s">
        <v>36</v>
      </c>
      <c r="C550" s="9" t="s">
        <v>303</v>
      </c>
      <c r="D550" s="14" t="s">
        <v>100</v>
      </c>
      <c r="E550" s="30">
        <v>-500</v>
      </c>
      <c r="F550" s="30"/>
      <c r="G550" s="8">
        <f>IF(C550=C548,G548,G548+1)</f>
        <v>60</v>
      </c>
      <c r="H550" s="2"/>
      <c r="I550" s="2"/>
      <c r="J550" s="1"/>
    </row>
    <row r="551" ht="12.75">
      <c r="A551" s="2">
        <v>2025</v>
      </c>
      <c r="B551" s="2" t="s">
        <v>36</v>
      </c>
      <c r="C551" s="9" t="s">
        <v>303</v>
      </c>
      <c r="D551" s="14" t="s">
        <v>101</v>
      </c>
      <c r="E551" s="30">
        <v>-1000</v>
      </c>
      <c r="F551" s="30"/>
      <c r="G551" s="8">
        <f>IF(C551=C550,G550,G550+1)</f>
        <v>60</v>
      </c>
      <c r="H551" s="2"/>
      <c r="I551" s="2"/>
      <c r="J551" s="1"/>
    </row>
    <row r="552" ht="12.75">
      <c r="A552" s="2">
        <v>2025</v>
      </c>
      <c r="B552" s="2" t="s">
        <v>36</v>
      </c>
      <c r="C552" s="9" t="s">
        <v>303</v>
      </c>
      <c r="D552" s="14" t="s">
        <v>102</v>
      </c>
      <c r="E552" s="27">
        <v>0</v>
      </c>
      <c r="F552" s="27"/>
      <c r="G552" s="8">
        <f>IF(C552=C551,G551,G551+1)</f>
        <v>60</v>
      </c>
      <c r="H552" s="2"/>
      <c r="I552" s="2"/>
      <c r="J552" s="1"/>
    </row>
    <row r="553" ht="12.75">
      <c r="A553" s="2">
        <v>2025</v>
      </c>
      <c r="B553" s="2" t="s">
        <v>36</v>
      </c>
      <c r="C553" s="9" t="s">
        <v>303</v>
      </c>
      <c r="D553" s="14" t="s">
        <v>103</v>
      </c>
      <c r="E553" s="30">
        <v>-1000</v>
      </c>
      <c r="F553" s="30"/>
      <c r="G553" s="8">
        <f>IF(C553=C552,G552,G552+1)</f>
        <v>60</v>
      </c>
      <c r="H553" s="2"/>
      <c r="I553" s="2"/>
      <c r="J553" s="1"/>
    </row>
    <row r="554" ht="12.75">
      <c r="A554" s="2">
        <v>2025</v>
      </c>
      <c r="B554" s="2" t="s">
        <v>36</v>
      </c>
      <c r="C554" s="9" t="s">
        <v>304</v>
      </c>
      <c r="D554" s="14" t="s">
        <v>174</v>
      </c>
      <c r="E554" s="30">
        <v>-7571</v>
      </c>
      <c r="F554" s="30"/>
      <c r="G554" s="8">
        <f>IF(C554=C553,G553,G553+1)</f>
        <v>61</v>
      </c>
      <c r="H554" s="2"/>
      <c r="I554" s="2"/>
      <c r="J554" s="1"/>
    </row>
    <row r="555" ht="12.75">
      <c r="A555" s="2">
        <v>2025</v>
      </c>
      <c r="B555" s="2" t="s">
        <v>36</v>
      </c>
      <c r="C555" s="9" t="s">
        <v>304</v>
      </c>
      <c r="D555" s="14" t="s">
        <v>175</v>
      </c>
      <c r="E555" s="27">
        <v>-98959</v>
      </c>
      <c r="F555" s="27"/>
      <c r="G555" s="8">
        <f>IF(C555=C554,G554,G554+1)</f>
        <v>61</v>
      </c>
      <c r="H555" s="2"/>
      <c r="I555" s="2"/>
      <c r="J555" s="1"/>
    </row>
    <row r="556" ht="12.75">
      <c r="A556" s="2">
        <v>2025</v>
      </c>
      <c r="B556" s="2" t="s">
        <v>36</v>
      </c>
      <c r="C556" s="9" t="s">
        <v>304</v>
      </c>
      <c r="D556" s="14" t="s">
        <v>176</v>
      </c>
      <c r="E556" s="30">
        <v>-15000</v>
      </c>
      <c r="F556" s="30"/>
      <c r="G556" s="8">
        <f>IF(C556=C555,G555,G555+1)</f>
        <v>61</v>
      </c>
      <c r="H556" s="2"/>
      <c r="I556" s="2"/>
      <c r="J556" s="1"/>
    </row>
    <row r="557" ht="12.75">
      <c r="A557" s="2">
        <v>2025</v>
      </c>
      <c r="B557" s="2" t="s">
        <v>36</v>
      </c>
      <c r="C557" s="9" t="s">
        <v>304</v>
      </c>
      <c r="D557" s="14" t="s">
        <v>177</v>
      </c>
      <c r="E557" s="30">
        <v>-2699</v>
      </c>
      <c r="F557" s="30"/>
      <c r="G557" s="8">
        <f>IF(C557=C556,G556,G556+1)</f>
        <v>61</v>
      </c>
      <c r="H557" s="2"/>
      <c r="I557" s="2"/>
      <c r="J557" s="1"/>
    </row>
    <row r="558" ht="12.75">
      <c r="A558" s="2">
        <v>2025</v>
      </c>
      <c r="B558" s="2" t="s">
        <v>36</v>
      </c>
      <c r="C558" s="9" t="s">
        <v>304</v>
      </c>
      <c r="D558" s="14" t="s">
        <v>178</v>
      </c>
      <c r="E558" s="30">
        <v>-1000</v>
      </c>
      <c r="F558" s="30"/>
      <c r="G558" s="8">
        <f>IF(C558=C557,G557,G557+1)</f>
        <v>61</v>
      </c>
      <c r="H558" s="2"/>
      <c r="I558" s="2"/>
      <c r="J558" s="1"/>
    </row>
    <row r="559" ht="12.75">
      <c r="A559" s="2">
        <v>2025</v>
      </c>
      <c r="B559" s="2" t="s">
        <v>36</v>
      </c>
      <c r="C559" s="9" t="s">
        <v>304</v>
      </c>
      <c r="D559" s="14" t="s">
        <v>277</v>
      </c>
      <c r="E559" s="30">
        <v>-3000</v>
      </c>
      <c r="F559" s="30"/>
      <c r="G559" s="8">
        <f>IF(C559=C558,G558,G558+1)</f>
        <v>61</v>
      </c>
      <c r="H559" s="2"/>
      <c r="I559" s="2"/>
      <c r="J559" s="1"/>
    </row>
    <row r="560" ht="12.75">
      <c r="A560" s="2">
        <v>2025</v>
      </c>
      <c r="B560" s="2" t="s">
        <v>36</v>
      </c>
      <c r="C560" s="9" t="s">
        <v>304</v>
      </c>
      <c r="D560" s="14" t="s">
        <v>146</v>
      </c>
      <c r="E560" s="30">
        <v>-750</v>
      </c>
      <c r="F560" s="30"/>
      <c r="G560" s="8">
        <f>IF(C560=C559,G559,G559+1)</f>
        <v>61</v>
      </c>
      <c r="H560" s="2"/>
      <c r="I560" s="2"/>
      <c r="J560" s="1"/>
    </row>
    <row r="561" ht="12.75">
      <c r="A561" s="2">
        <v>2025</v>
      </c>
      <c r="B561" s="2" t="s">
        <v>36</v>
      </c>
      <c r="C561" s="9" t="s">
        <v>304</v>
      </c>
      <c r="D561" s="14" t="s">
        <v>147</v>
      </c>
      <c r="E561" s="30">
        <v>-8850</v>
      </c>
      <c r="F561" s="30"/>
      <c r="G561" s="8">
        <f>IF(C561=C560,G560,G560+1)</f>
        <v>61</v>
      </c>
      <c r="H561" s="2"/>
      <c r="I561" s="2"/>
      <c r="J561" s="1"/>
    </row>
    <row r="562" ht="12.75">
      <c r="A562" s="2">
        <v>2025</v>
      </c>
      <c r="B562" s="2" t="s">
        <v>36</v>
      </c>
      <c r="C562" s="9" t="s">
        <v>304</v>
      </c>
      <c r="D562" s="14" t="s">
        <v>148</v>
      </c>
      <c r="E562" s="30">
        <v>-9500</v>
      </c>
      <c r="F562" s="30"/>
      <c r="G562" s="8">
        <f>IF(C562=C561,G561,G561+1)</f>
        <v>61</v>
      </c>
      <c r="H562" s="2"/>
      <c r="I562" s="2"/>
      <c r="J562" s="1"/>
    </row>
    <row r="563" ht="12.75">
      <c r="A563" s="2">
        <v>2025</v>
      </c>
      <c r="B563" s="2" t="s">
        <v>36</v>
      </c>
      <c r="C563" s="9" t="s">
        <v>304</v>
      </c>
      <c r="D563" s="14" t="s">
        <v>149</v>
      </c>
      <c r="E563" s="30">
        <v>-950</v>
      </c>
      <c r="F563" s="30"/>
      <c r="G563" s="8">
        <f>IF(C563=C562,G562,G562+1)</f>
        <v>61</v>
      </c>
      <c r="H563" s="2"/>
      <c r="I563" s="2"/>
      <c r="J563" s="1"/>
    </row>
    <row r="564" ht="12.75">
      <c r="A564" s="2">
        <v>2025</v>
      </c>
      <c r="B564" s="2" t="s">
        <v>36</v>
      </c>
      <c r="C564" s="9" t="s">
        <v>304</v>
      </c>
      <c r="D564" s="14" t="s">
        <v>150</v>
      </c>
      <c r="E564" s="30">
        <v>-1500</v>
      </c>
      <c r="F564" s="30"/>
      <c r="G564" s="8">
        <f>IF(C564=C563,G563,G563+1)</f>
        <v>61</v>
      </c>
      <c r="H564" s="2"/>
      <c r="I564" s="2"/>
      <c r="J564" s="1"/>
    </row>
    <row r="565" ht="12.75">
      <c r="A565" s="2">
        <v>2025</v>
      </c>
      <c r="B565" s="2" t="s">
        <v>36</v>
      </c>
      <c r="C565" s="9" t="s">
        <v>304</v>
      </c>
      <c r="D565" s="14" t="s">
        <v>151</v>
      </c>
      <c r="E565" s="30">
        <v>-5000</v>
      </c>
      <c r="F565" s="30"/>
      <c r="G565" s="8">
        <f>IF(C565=C564,G564,G564+1)</f>
        <v>61</v>
      </c>
      <c r="H565" s="2"/>
      <c r="I565" s="2"/>
      <c r="J565" s="1"/>
    </row>
    <row r="566" ht="12.75">
      <c r="A566" s="2">
        <v>2025</v>
      </c>
      <c r="B566" s="2" t="s">
        <v>36</v>
      </c>
      <c r="C566" s="9" t="s">
        <v>304</v>
      </c>
      <c r="D566" s="14" t="s">
        <v>152</v>
      </c>
      <c r="E566" s="30">
        <v>-2300</v>
      </c>
      <c r="F566" s="30"/>
      <c r="G566" s="8">
        <f>IF(C566=C565,G565,G565+1)</f>
        <v>61</v>
      </c>
      <c r="H566" s="2"/>
      <c r="I566" s="2"/>
      <c r="J566" s="1"/>
    </row>
    <row r="567" ht="12.75">
      <c r="A567" s="2">
        <v>2025</v>
      </c>
      <c r="B567" s="2" t="s">
        <v>36</v>
      </c>
      <c r="C567" s="9" t="s">
        <v>304</v>
      </c>
      <c r="D567" s="14" t="s">
        <v>153</v>
      </c>
      <c r="E567" s="30">
        <v>-4300</v>
      </c>
      <c r="F567" s="30"/>
      <c r="G567" s="8">
        <f>IF(C567=C566,G566,G566+1)</f>
        <v>61</v>
      </c>
      <c r="H567" s="2"/>
      <c r="I567" s="2"/>
      <c r="J567" s="1"/>
    </row>
    <row r="568" ht="12.75">
      <c r="A568" s="2">
        <v>2025</v>
      </c>
      <c r="B568" s="2" t="s">
        <v>36</v>
      </c>
      <c r="C568" s="9" t="s">
        <v>304</v>
      </c>
      <c r="D568" s="14" t="s">
        <v>154</v>
      </c>
      <c r="E568" s="30">
        <v>-10950</v>
      </c>
      <c r="F568" s="30"/>
      <c r="G568" s="8">
        <f>IF(C568=C567,G567,G567+1)</f>
        <v>61</v>
      </c>
      <c r="H568" s="2"/>
      <c r="I568" s="2"/>
      <c r="J568" s="1"/>
    </row>
    <row r="569" ht="12.75">
      <c r="A569" s="2">
        <v>2025</v>
      </c>
      <c r="B569" s="2" t="s">
        <v>36</v>
      </c>
      <c r="C569" s="9" t="s">
        <v>304</v>
      </c>
      <c r="D569" s="14" t="s">
        <v>155</v>
      </c>
      <c r="E569" s="30">
        <v>0</v>
      </c>
      <c r="F569" s="30"/>
      <c r="G569" s="8">
        <f>IF(C569=C568,G568,G568+1)</f>
        <v>61</v>
      </c>
      <c r="H569" s="2"/>
      <c r="I569" s="2"/>
      <c r="J569" s="1"/>
    </row>
    <row r="570" ht="12.75">
      <c r="A570" s="2">
        <v>2025</v>
      </c>
      <c r="B570" s="2" t="s">
        <v>36</v>
      </c>
      <c r="C570" s="9" t="s">
        <v>304</v>
      </c>
      <c r="D570" s="14" t="s">
        <v>156</v>
      </c>
      <c r="E570" s="30">
        <v>0</v>
      </c>
      <c r="F570" s="30"/>
      <c r="G570" s="8">
        <f>IF(C570=C569,G569,G569+1)</f>
        <v>61</v>
      </c>
      <c r="H570" s="2"/>
      <c r="I570" s="2"/>
      <c r="J570" s="1"/>
    </row>
    <row r="571" ht="12.75">
      <c r="A571" s="2">
        <v>2025</v>
      </c>
      <c r="B571" s="2" t="s">
        <v>36</v>
      </c>
      <c r="C571" s="9" t="s">
        <v>304</v>
      </c>
      <c r="D571" s="14" t="s">
        <v>157</v>
      </c>
      <c r="E571" s="30">
        <v>0</v>
      </c>
      <c r="F571" s="30"/>
      <c r="G571" s="8">
        <f>IF(C571=C570,G570,G570+1)</f>
        <v>61</v>
      </c>
      <c r="H571" s="2"/>
      <c r="I571" s="2"/>
      <c r="J571" s="1"/>
    </row>
    <row r="572" ht="12.75">
      <c r="A572" s="2">
        <v>2025</v>
      </c>
      <c r="B572" s="2" t="s">
        <v>36</v>
      </c>
      <c r="C572" s="9" t="s">
        <v>304</v>
      </c>
      <c r="D572" s="14" t="s">
        <v>158</v>
      </c>
      <c r="E572" s="30">
        <v>0</v>
      </c>
      <c r="F572" s="30"/>
      <c r="G572" s="8">
        <f>IF(C572=C571,G571,G571+1)</f>
        <v>61</v>
      </c>
      <c r="H572" s="2"/>
      <c r="I572" s="2"/>
      <c r="J572" s="1"/>
    </row>
    <row r="573" ht="12.75">
      <c r="A573" s="2">
        <v>2025</v>
      </c>
      <c r="B573" s="2" t="s">
        <v>36</v>
      </c>
      <c r="C573" s="9" t="s">
        <v>304</v>
      </c>
      <c r="D573" s="14" t="s">
        <v>159</v>
      </c>
      <c r="E573" s="30">
        <v>-1500</v>
      </c>
      <c r="F573" s="30"/>
      <c r="G573" s="8">
        <f>IF(C573=C572,G572,G572+1)</f>
        <v>61</v>
      </c>
      <c r="H573" s="2"/>
      <c r="I573" s="2"/>
      <c r="J573" s="1"/>
    </row>
    <row r="574" ht="12.75">
      <c r="A574" s="2">
        <v>2025</v>
      </c>
      <c r="B574" s="2" t="s">
        <v>36</v>
      </c>
      <c r="C574" s="9" t="s">
        <v>304</v>
      </c>
      <c r="D574" s="14" t="s">
        <v>160</v>
      </c>
      <c r="E574" s="30">
        <v>-1000</v>
      </c>
      <c r="F574" s="30"/>
      <c r="G574" s="8">
        <f>IF(C574=C573,G573,G573+1)</f>
        <v>61</v>
      </c>
      <c r="H574" s="2"/>
      <c r="I574" s="2"/>
      <c r="J574" s="1"/>
    </row>
    <row r="575" ht="12.75">
      <c r="A575" s="2">
        <v>2025</v>
      </c>
      <c r="B575" s="2" t="s">
        <v>36</v>
      </c>
      <c r="C575" s="9" t="s">
        <v>304</v>
      </c>
      <c r="D575" s="14" t="s">
        <v>161</v>
      </c>
      <c r="E575" s="30">
        <v>-13500</v>
      </c>
      <c r="F575" s="30"/>
      <c r="G575" s="8">
        <f>IF(C575=C574,G574,G574+1)</f>
        <v>61</v>
      </c>
      <c r="H575" s="2"/>
      <c r="I575" s="2"/>
      <c r="J575" s="1"/>
    </row>
    <row r="576" ht="12.75">
      <c r="A576" s="2">
        <v>2025</v>
      </c>
      <c r="B576" s="2" t="s">
        <v>36</v>
      </c>
      <c r="C576" s="9" t="s">
        <v>304</v>
      </c>
      <c r="D576" s="14" t="s">
        <v>162</v>
      </c>
      <c r="E576" s="30">
        <v>-5000</v>
      </c>
      <c r="F576" s="30"/>
      <c r="G576" s="8">
        <f>IF(C576=C575,G575,G575+1)</f>
        <v>61</v>
      </c>
      <c r="H576" s="2"/>
      <c r="I576" s="2"/>
      <c r="J576" s="1"/>
    </row>
    <row r="577" ht="12.75">
      <c r="A577" s="2">
        <v>2025</v>
      </c>
      <c r="B577" s="2" t="s">
        <v>36</v>
      </c>
      <c r="C577" s="9" t="s">
        <v>304</v>
      </c>
      <c r="D577" s="14" t="s">
        <v>163</v>
      </c>
      <c r="E577" s="30">
        <v>-14700</v>
      </c>
      <c r="F577" s="30"/>
      <c r="G577" s="8">
        <f>IF(C577=C576,G576,G576+1)</f>
        <v>61</v>
      </c>
      <c r="H577" s="2"/>
      <c r="I577" s="2"/>
      <c r="J577" s="1"/>
    </row>
    <row r="578" ht="12.75">
      <c r="A578" s="2">
        <v>2025</v>
      </c>
      <c r="B578" s="2" t="s">
        <v>36</v>
      </c>
      <c r="C578" s="9" t="s">
        <v>304</v>
      </c>
      <c r="D578" s="14" t="s">
        <v>164</v>
      </c>
      <c r="E578" s="30">
        <v>-39900</v>
      </c>
      <c r="F578" s="30"/>
      <c r="G578" s="8">
        <f>IF(C578=C577,G577,G577+1)</f>
        <v>61</v>
      </c>
      <c r="H578" s="2"/>
      <c r="I578" s="2"/>
      <c r="J578" s="1"/>
    </row>
    <row r="579" ht="12.75">
      <c r="A579" s="2">
        <v>2025</v>
      </c>
      <c r="B579" s="2" t="s">
        <v>36</v>
      </c>
      <c r="C579" s="9" t="s">
        <v>304</v>
      </c>
      <c r="D579" s="14" t="s">
        <v>165</v>
      </c>
      <c r="E579" s="30">
        <v>-2200</v>
      </c>
      <c r="F579" s="30"/>
      <c r="G579" s="8">
        <f>IF(C579=C578,G578,G578+1)</f>
        <v>61</v>
      </c>
      <c r="H579" s="2"/>
      <c r="I579" s="2"/>
      <c r="J579" s="1"/>
    </row>
    <row r="580" ht="12.75">
      <c r="A580" s="2">
        <v>2025</v>
      </c>
      <c r="B580" s="2" t="s">
        <v>36</v>
      </c>
      <c r="C580" s="9" t="s">
        <v>304</v>
      </c>
      <c r="D580" s="14" t="s">
        <v>166</v>
      </c>
      <c r="E580" s="30">
        <v>-4000</v>
      </c>
      <c r="F580" s="30"/>
      <c r="G580" s="8">
        <f>IF(C580=C579,G579,G579+1)</f>
        <v>61</v>
      </c>
      <c r="H580" s="2"/>
      <c r="I580" s="2"/>
      <c r="J580" s="1"/>
    </row>
    <row r="581" ht="12.75">
      <c r="A581" s="2">
        <v>2025</v>
      </c>
      <c r="B581" s="2" t="s">
        <v>36</v>
      </c>
      <c r="C581" s="9" t="s">
        <v>304</v>
      </c>
      <c r="D581" s="14" t="s">
        <v>167</v>
      </c>
      <c r="E581" s="30">
        <v>-3000</v>
      </c>
      <c r="F581" s="30"/>
      <c r="G581" s="8">
        <f>IF(C581=C580,G580,G580+1)</f>
        <v>61</v>
      </c>
      <c r="H581" s="2"/>
      <c r="I581" s="2"/>
      <c r="J581" s="1"/>
    </row>
    <row r="582" ht="12.75">
      <c r="A582" s="2">
        <v>2025</v>
      </c>
      <c r="B582" s="2" t="s">
        <v>36</v>
      </c>
      <c r="C582" s="9" t="s">
        <v>304</v>
      </c>
      <c r="D582" s="14" t="s">
        <v>168</v>
      </c>
      <c r="E582" s="30">
        <v>-3000</v>
      </c>
      <c r="F582" s="30"/>
      <c r="G582" s="8">
        <f>IF(C582=C581,G581,G581+1)</f>
        <v>61</v>
      </c>
      <c r="H582" s="2"/>
      <c r="I582" s="2"/>
      <c r="J582" s="1"/>
    </row>
    <row r="583" ht="12.75">
      <c r="A583" s="2">
        <v>2025</v>
      </c>
      <c r="B583" s="2" t="s">
        <v>36</v>
      </c>
      <c r="C583" s="9" t="s">
        <v>304</v>
      </c>
      <c r="D583" s="14" t="s">
        <v>169</v>
      </c>
      <c r="E583" s="30">
        <v>-4000</v>
      </c>
      <c r="F583" s="30"/>
      <c r="G583" s="8">
        <f>IF(C583=C582,G582,G582+1)</f>
        <v>61</v>
      </c>
      <c r="H583" s="2"/>
      <c r="I583" s="2"/>
      <c r="J583" s="1"/>
    </row>
    <row r="584" ht="12.75">
      <c r="A584" s="2">
        <v>2025</v>
      </c>
      <c r="B584" s="2" t="s">
        <v>36</v>
      </c>
      <c r="C584" s="9" t="s">
        <v>304</v>
      </c>
      <c r="D584" s="14" t="s">
        <v>170</v>
      </c>
      <c r="E584" s="30">
        <v>-1000</v>
      </c>
      <c r="F584" s="30"/>
      <c r="G584" s="8">
        <f>IF(C584=C583,G583,G583+1)</f>
        <v>61</v>
      </c>
      <c r="H584" s="2"/>
      <c r="I584" s="2"/>
      <c r="J584" s="1"/>
    </row>
    <row r="585" ht="12.75">
      <c r="A585" s="2">
        <v>2025</v>
      </c>
      <c r="B585" s="2" t="s">
        <v>36</v>
      </c>
      <c r="C585" s="9" t="s">
        <v>304</v>
      </c>
      <c r="D585" s="14" t="s">
        <v>171</v>
      </c>
      <c r="E585" s="29">
        <v>-60000</v>
      </c>
      <c r="F585" s="29"/>
      <c r="G585" s="8">
        <f>IF(C585=C584,G584,G584+1)</f>
        <v>61</v>
      </c>
      <c r="H585" s="2"/>
      <c r="I585" s="2"/>
      <c r="J585" s="1"/>
    </row>
    <row r="586" ht="12.75">
      <c r="A586" s="2">
        <v>2025</v>
      </c>
      <c r="B586" s="2" t="s">
        <v>36</v>
      </c>
      <c r="C586" s="9" t="s">
        <v>304</v>
      </c>
      <c r="D586" s="14" t="s">
        <v>278</v>
      </c>
      <c r="E586" s="30">
        <v>-500</v>
      </c>
      <c r="F586" s="30"/>
      <c r="G586" s="8">
        <f>IF(C586=C585,G585,G585+1)</f>
        <v>61</v>
      </c>
      <c r="H586" s="2"/>
      <c r="I586" s="2"/>
      <c r="J586" s="1"/>
    </row>
    <row r="587" ht="12.75">
      <c r="A587" s="2">
        <v>2025</v>
      </c>
      <c r="B587" s="2" t="s">
        <v>36</v>
      </c>
      <c r="C587" s="9" t="s">
        <v>305</v>
      </c>
      <c r="D587" s="14" t="s">
        <v>105</v>
      </c>
      <c r="E587" s="27">
        <v>0</v>
      </c>
      <c r="F587" s="27"/>
      <c r="G587" s="8">
        <f>IF(C587=C586,G586,G586+1)</f>
        <v>62</v>
      </c>
      <c r="H587" s="2"/>
      <c r="I587" s="2"/>
      <c r="J587" s="1"/>
    </row>
    <row r="588" ht="12.75">
      <c r="A588" s="2">
        <v>2025</v>
      </c>
      <c r="B588" s="2" t="s">
        <v>36</v>
      </c>
      <c r="C588" s="9" t="s">
        <v>305</v>
      </c>
      <c r="D588" s="14" t="s">
        <v>106</v>
      </c>
      <c r="E588" s="27">
        <v>-40000</v>
      </c>
      <c r="F588" s="27"/>
      <c r="G588" s="8">
        <f>IF(C588=C587,G587,G587+1)</f>
        <v>62</v>
      </c>
      <c r="H588" s="2"/>
      <c r="I588" s="2"/>
      <c r="J588" s="1"/>
    </row>
    <row r="589" ht="12.75">
      <c r="A589" s="2">
        <v>2025</v>
      </c>
      <c r="B589" s="2" t="s">
        <v>36</v>
      </c>
      <c r="C589" s="9" t="s">
        <v>305</v>
      </c>
      <c r="D589" s="14" t="s">
        <v>107</v>
      </c>
      <c r="E589" s="27">
        <v>-37000</v>
      </c>
      <c r="F589" s="27"/>
      <c r="G589" s="8">
        <f>IF(C589=C588,G588,G588+1)</f>
        <v>62</v>
      </c>
      <c r="H589" s="2"/>
      <c r="I589" s="2"/>
      <c r="J589" s="1"/>
    </row>
    <row r="590" ht="12.75">
      <c r="A590" s="2">
        <v>2025</v>
      </c>
      <c r="B590" s="2" t="s">
        <v>36</v>
      </c>
      <c r="C590" s="9" t="s">
        <v>305</v>
      </c>
      <c r="D590" s="14" t="s">
        <v>281</v>
      </c>
      <c r="E590" s="27">
        <v>-2000</v>
      </c>
      <c r="F590" s="27"/>
      <c r="G590" s="8">
        <f>IF(C590=C589,G589,G589+1)</f>
        <v>62</v>
      </c>
      <c r="H590" s="2"/>
      <c r="I590" s="2"/>
      <c r="J590" s="1"/>
    </row>
    <row r="591" ht="12.75">
      <c r="A591" s="2">
        <v>2025</v>
      </c>
      <c r="B591" s="2" t="s">
        <v>36</v>
      </c>
      <c r="C591" s="9" t="s">
        <v>305</v>
      </c>
      <c r="D591" s="14" t="s">
        <v>109</v>
      </c>
      <c r="E591" s="30">
        <v>-1000</v>
      </c>
      <c r="F591" s="30"/>
      <c r="G591" s="8">
        <f>IF(C591=C590,G590,G590+1)</f>
        <v>62</v>
      </c>
      <c r="H591" s="2"/>
      <c r="I591" s="2"/>
      <c r="J591" s="1"/>
    </row>
    <row r="592" ht="12.75">
      <c r="A592" s="2">
        <v>2025</v>
      </c>
      <c r="B592" s="2" t="s">
        <v>36</v>
      </c>
      <c r="C592" s="9" t="s">
        <v>305</v>
      </c>
      <c r="D592" s="14" t="s">
        <v>110</v>
      </c>
      <c r="E592" s="30">
        <v>-6000</v>
      </c>
      <c r="F592" s="30"/>
      <c r="G592" s="8">
        <f>IF(C592=C591,G591,G591+1)</f>
        <v>62</v>
      </c>
      <c r="H592" s="2"/>
      <c r="I592" s="2"/>
      <c r="J592" s="1"/>
    </row>
    <row r="593" ht="12.75">
      <c r="A593" s="2">
        <v>2025</v>
      </c>
      <c r="B593" s="2" t="s">
        <v>36</v>
      </c>
      <c r="C593" s="9" t="s">
        <v>305</v>
      </c>
      <c r="D593" s="14" t="s">
        <v>111</v>
      </c>
      <c r="E593" s="30">
        <v>-250</v>
      </c>
      <c r="F593" s="30"/>
      <c r="G593" s="8">
        <f>IF(C593=C592,G592,G592+1)</f>
        <v>62</v>
      </c>
      <c r="H593" s="2"/>
      <c r="I593" s="2"/>
      <c r="J593" s="1"/>
    </row>
    <row r="594" ht="12.75">
      <c r="A594" s="2">
        <v>2025</v>
      </c>
      <c r="B594" s="2" t="s">
        <v>36</v>
      </c>
      <c r="C594" s="9" t="s">
        <v>305</v>
      </c>
      <c r="D594" s="14" t="s">
        <v>112</v>
      </c>
      <c r="E594" s="30">
        <v>-5000</v>
      </c>
      <c r="F594" s="30"/>
      <c r="G594" s="8">
        <f>IF(C594=C593,G593,G593+1)</f>
        <v>62</v>
      </c>
      <c r="H594" s="2"/>
      <c r="I594" s="2"/>
      <c r="J594" s="1"/>
    </row>
    <row r="595" ht="12.75">
      <c r="A595" s="2">
        <v>2025</v>
      </c>
      <c r="B595" s="2" t="s">
        <v>36</v>
      </c>
      <c r="C595" s="9" t="s">
        <v>305</v>
      </c>
      <c r="D595" s="14" t="s">
        <v>113</v>
      </c>
      <c r="E595" s="30">
        <v>-500</v>
      </c>
      <c r="F595" s="30"/>
      <c r="G595" s="8">
        <f>IF(C595=C594,G594,G594+1)</f>
        <v>62</v>
      </c>
      <c r="H595" s="2"/>
      <c r="I595" s="2"/>
      <c r="J595" s="1"/>
    </row>
    <row r="596" ht="12.75">
      <c r="A596" s="2">
        <v>2025</v>
      </c>
      <c r="B596" s="2" t="s">
        <v>36</v>
      </c>
      <c r="C596" s="9" t="s">
        <v>306</v>
      </c>
      <c r="D596" s="14" t="s">
        <v>65</v>
      </c>
      <c r="E596" s="27">
        <v>-3525</v>
      </c>
      <c r="F596" s="27"/>
      <c r="G596" s="8">
        <f>IF(C596=C595,G595,G595+1)</f>
        <v>63</v>
      </c>
      <c r="H596" s="2"/>
      <c r="I596" s="2"/>
      <c r="J596" s="1"/>
    </row>
    <row r="597" ht="12.75">
      <c r="A597" s="2">
        <v>2025</v>
      </c>
      <c r="B597" s="2" t="s">
        <v>36</v>
      </c>
      <c r="C597" s="9" t="s">
        <v>306</v>
      </c>
      <c r="D597" s="14" t="s">
        <v>66</v>
      </c>
      <c r="E597" s="42">
        <v>0</v>
      </c>
      <c r="F597" s="42"/>
      <c r="G597" s="8">
        <f>IF(C597=C596,G596,G596+1)</f>
        <v>63</v>
      </c>
      <c r="H597" s="2"/>
      <c r="I597" s="2"/>
      <c r="J597" s="1"/>
    </row>
    <row r="598" ht="12.75">
      <c r="A598" s="2">
        <v>2025</v>
      </c>
      <c r="B598" s="2" t="s">
        <v>36</v>
      </c>
      <c r="C598" s="9" t="s">
        <v>306</v>
      </c>
      <c r="D598" s="14" t="s">
        <v>67</v>
      </c>
      <c r="E598" s="30">
        <v>-375</v>
      </c>
      <c r="F598" s="30"/>
      <c r="G598" s="8">
        <f>IF(C598=C597,G597,G597+1)</f>
        <v>63</v>
      </c>
      <c r="H598" s="2"/>
      <c r="I598" s="2"/>
      <c r="J598" s="1"/>
    </row>
    <row r="599" ht="12.75">
      <c r="A599" s="2">
        <v>2025</v>
      </c>
      <c r="B599" s="2" t="s">
        <v>36</v>
      </c>
      <c r="C599" s="9" t="s">
        <v>307</v>
      </c>
      <c r="D599" s="14" t="s">
        <v>52</v>
      </c>
      <c r="E599" s="30">
        <v>-8417</v>
      </c>
      <c r="F599" s="30"/>
      <c r="G599" s="8">
        <f>IF(C599=C598,G598,G598+1)</f>
        <v>64</v>
      </c>
      <c r="H599" s="2"/>
      <c r="I599" s="2"/>
      <c r="J599" s="1"/>
    </row>
    <row r="600" ht="12.75">
      <c r="A600" s="2">
        <v>2025</v>
      </c>
      <c r="B600" s="2" t="s">
        <v>36</v>
      </c>
      <c r="C600" s="9" t="s">
        <v>307</v>
      </c>
      <c r="D600" s="14" t="s">
        <v>53</v>
      </c>
      <c r="E600" s="27">
        <v>-110016</v>
      </c>
      <c r="F600" s="27"/>
      <c r="G600" s="8">
        <f>IF(C600=C599,G599,G599+1)</f>
        <v>64</v>
      </c>
      <c r="H600" s="2"/>
      <c r="I600" s="2"/>
      <c r="J600" s="1"/>
    </row>
    <row r="601" ht="12.75">
      <c r="A601" s="2">
        <v>2025</v>
      </c>
      <c r="B601" s="2" t="s">
        <v>36</v>
      </c>
      <c r="C601" s="9" t="s">
        <v>307</v>
      </c>
      <c r="D601" s="14" t="s">
        <v>54</v>
      </c>
      <c r="E601" s="30">
        <v>-2624</v>
      </c>
      <c r="F601" s="30"/>
      <c r="G601" s="8">
        <f>IF(C601=C600,G600,G600+1)</f>
        <v>64</v>
      </c>
      <c r="H601" s="2"/>
      <c r="I601" s="2"/>
      <c r="J601" s="1"/>
    </row>
    <row r="602" ht="12.75">
      <c r="A602" s="2">
        <v>2025</v>
      </c>
      <c r="B602" s="2" t="s">
        <v>36</v>
      </c>
      <c r="C602" s="9" t="s">
        <v>307</v>
      </c>
      <c r="D602" s="14" t="s">
        <v>55</v>
      </c>
      <c r="E602" s="30">
        <v>-15000</v>
      </c>
      <c r="F602" s="30"/>
      <c r="G602" s="8">
        <f>IF(C602=C601,G601,G601+1)</f>
        <v>64</v>
      </c>
      <c r="H602" s="2"/>
      <c r="I602" s="2"/>
      <c r="J602" s="1"/>
    </row>
    <row r="603" ht="12.75">
      <c r="A603" s="2">
        <v>2025</v>
      </c>
      <c r="B603" s="2" t="s">
        <v>36</v>
      </c>
      <c r="C603" s="9" t="s">
        <v>307</v>
      </c>
      <c r="D603" s="14" t="s">
        <v>56</v>
      </c>
      <c r="E603" s="30">
        <v>-1000</v>
      </c>
      <c r="F603" s="30"/>
      <c r="G603" s="8">
        <f>IF(C603=C602,G602,G602+1)</f>
        <v>64</v>
      </c>
      <c r="H603" s="2"/>
      <c r="I603" s="2"/>
      <c r="J603" s="1"/>
    </row>
    <row r="604" ht="12.75">
      <c r="A604" s="2">
        <v>2025</v>
      </c>
      <c r="B604" s="2" t="s">
        <v>36</v>
      </c>
      <c r="C604" s="9" t="s">
        <v>307</v>
      </c>
      <c r="D604" s="40" t="s">
        <v>308</v>
      </c>
      <c r="E604" s="41">
        <v>-1000</v>
      </c>
      <c r="F604" s="41"/>
      <c r="G604" s="8">
        <f>IF(C604=C603,G603,G603+1)</f>
        <v>64</v>
      </c>
      <c r="H604" s="2"/>
      <c r="I604" s="2"/>
      <c r="J604" s="1"/>
    </row>
    <row r="605" ht="12.75">
      <c r="A605" s="2">
        <v>2025</v>
      </c>
      <c r="B605" s="2" t="s">
        <v>36</v>
      </c>
      <c r="C605" s="9" t="s">
        <v>307</v>
      </c>
      <c r="D605" s="40" t="s">
        <v>309</v>
      </c>
      <c r="E605" s="41">
        <v>-2000</v>
      </c>
      <c r="F605" s="41"/>
      <c r="G605" s="8">
        <f>IF(C605=C604,G604,G604+1)</f>
        <v>64</v>
      </c>
      <c r="H605" s="2"/>
      <c r="I605" s="2"/>
      <c r="J605" s="1"/>
    </row>
    <row r="606" ht="12.75">
      <c r="A606" s="2">
        <v>2025</v>
      </c>
      <c r="B606" s="2" t="s">
        <v>36</v>
      </c>
      <c r="C606" s="9" t="s">
        <v>307</v>
      </c>
      <c r="D606" s="14" t="s">
        <v>38</v>
      </c>
      <c r="E606" s="27">
        <v>-3500</v>
      </c>
      <c r="F606" s="27"/>
      <c r="G606" s="8">
        <f>IF(C606=C605,G605,G605+1)</f>
        <v>64</v>
      </c>
      <c r="H606" s="2"/>
      <c r="I606" s="2"/>
      <c r="J606" s="1"/>
    </row>
    <row r="607" ht="12.75">
      <c r="A607" s="2">
        <v>2025</v>
      </c>
      <c r="B607" s="2" t="s">
        <v>36</v>
      </c>
      <c r="C607" s="9" t="s">
        <v>307</v>
      </c>
      <c r="D607" s="18" t="s">
        <v>39</v>
      </c>
      <c r="E607" s="27">
        <v>0</v>
      </c>
      <c r="F607" s="27"/>
      <c r="G607" s="8">
        <f>IF(C607=C606,G606,G606+1)</f>
        <v>64</v>
      </c>
      <c r="H607" s="2"/>
      <c r="I607" s="2"/>
      <c r="J607" s="1"/>
    </row>
    <row r="608" ht="12.75">
      <c r="A608" s="2">
        <v>2025</v>
      </c>
      <c r="B608" s="2" t="s">
        <v>36</v>
      </c>
      <c r="C608" s="9" t="s">
        <v>307</v>
      </c>
      <c r="D608" s="14" t="s">
        <v>40</v>
      </c>
      <c r="E608" s="27">
        <v>-1000</v>
      </c>
      <c r="F608" s="27"/>
      <c r="G608" s="8">
        <f>IF(C608=C607,G607,G607+1)</f>
        <v>64</v>
      </c>
      <c r="H608" s="2"/>
      <c r="I608" s="2"/>
      <c r="J608" s="1"/>
    </row>
    <row r="609" ht="12.75">
      <c r="A609" s="2">
        <v>2025</v>
      </c>
      <c r="B609" s="2" t="s">
        <v>36</v>
      </c>
      <c r="C609" s="9" t="s">
        <v>307</v>
      </c>
      <c r="D609" s="14" t="s">
        <v>41</v>
      </c>
      <c r="E609" s="27">
        <v>-13200</v>
      </c>
      <c r="F609" s="27"/>
      <c r="G609" s="8">
        <f>IF(C609=C608,G608,G608+1)</f>
        <v>64</v>
      </c>
      <c r="H609" s="2"/>
      <c r="I609" s="2"/>
      <c r="J609" s="1"/>
    </row>
    <row r="610" ht="12.75">
      <c r="A610" s="2">
        <v>2025</v>
      </c>
      <c r="B610" s="2" t="s">
        <v>36</v>
      </c>
      <c r="C610" s="9" t="s">
        <v>307</v>
      </c>
      <c r="D610" s="14" t="s">
        <v>42</v>
      </c>
      <c r="E610" s="27">
        <v>-4000</v>
      </c>
      <c r="F610" s="27"/>
      <c r="G610" s="8">
        <f>IF(C610=C609,G609,G609+1)</f>
        <v>64</v>
      </c>
      <c r="H610" s="2"/>
      <c r="I610" s="2"/>
      <c r="J610" s="1"/>
    </row>
    <row r="611" ht="12.75">
      <c r="A611" s="2">
        <v>2025</v>
      </c>
      <c r="B611" s="2" t="s">
        <v>36</v>
      </c>
      <c r="C611" s="9" t="s">
        <v>307</v>
      </c>
      <c r="D611" s="14" t="s">
        <v>43</v>
      </c>
      <c r="E611" s="27">
        <v>-3000</v>
      </c>
      <c r="F611" s="27"/>
      <c r="G611" s="8">
        <f>IF(C611=C610,G610,G610+1)</f>
        <v>64</v>
      </c>
      <c r="H611" s="2"/>
      <c r="I611" s="2"/>
      <c r="J611" s="1"/>
    </row>
    <row r="612" ht="12.75">
      <c r="A612" s="2">
        <v>2025</v>
      </c>
      <c r="B612" s="2" t="s">
        <v>36</v>
      </c>
      <c r="C612" s="9" t="s">
        <v>307</v>
      </c>
      <c r="D612" s="14" t="s">
        <v>44</v>
      </c>
      <c r="E612" s="27">
        <v>-1500</v>
      </c>
      <c r="F612" s="27"/>
      <c r="G612" s="8">
        <f>IF(C612=C611,G611,G611+1)</f>
        <v>64</v>
      </c>
      <c r="H612" s="2"/>
      <c r="I612" s="2"/>
      <c r="J612" s="1"/>
    </row>
    <row r="613" ht="12.75">
      <c r="A613" s="2">
        <v>2025</v>
      </c>
      <c r="B613" s="2" t="s">
        <v>36</v>
      </c>
      <c r="C613" s="9" t="s">
        <v>307</v>
      </c>
      <c r="D613" s="14" t="s">
        <v>45</v>
      </c>
      <c r="E613" s="27">
        <v>-2000</v>
      </c>
      <c r="F613" s="27"/>
      <c r="G613" s="8">
        <f>IF(C613=C612,G612,G612+1)</f>
        <v>64</v>
      </c>
      <c r="H613" s="2"/>
      <c r="I613" s="2"/>
      <c r="J613" s="1"/>
    </row>
    <row r="614" ht="12.75">
      <c r="A614" s="2">
        <v>2025</v>
      </c>
      <c r="B614" s="2" t="s">
        <v>36</v>
      </c>
      <c r="C614" s="9" t="s">
        <v>307</v>
      </c>
      <c r="D614" s="14" t="s">
        <v>46</v>
      </c>
      <c r="E614" s="27">
        <v>-3000</v>
      </c>
      <c r="F614" s="27"/>
      <c r="G614" s="8">
        <f>IF(C614=C613,G613,G613+1)</f>
        <v>64</v>
      </c>
      <c r="H614" s="2"/>
      <c r="I614" s="2"/>
      <c r="J614" s="1"/>
    </row>
    <row r="615" ht="12.75">
      <c r="A615" s="2">
        <v>2025</v>
      </c>
      <c r="B615" s="2" t="s">
        <v>36</v>
      </c>
      <c r="C615" s="9" t="s">
        <v>307</v>
      </c>
      <c r="D615" s="14" t="s">
        <v>47</v>
      </c>
      <c r="E615" s="27">
        <v>-2500</v>
      </c>
      <c r="F615" s="27"/>
      <c r="G615" s="8">
        <f>IF(C615=C614,G614,G614+1)</f>
        <v>64</v>
      </c>
      <c r="H615" s="2"/>
      <c r="I615" s="2"/>
      <c r="J615" s="1"/>
    </row>
    <row r="616" ht="12.75">
      <c r="A616" s="2">
        <v>2025</v>
      </c>
      <c r="B616" s="2" t="s">
        <v>36</v>
      </c>
      <c r="C616" s="9" t="s">
        <v>307</v>
      </c>
      <c r="D616" s="14" t="s">
        <v>284</v>
      </c>
      <c r="E616" s="27">
        <v>-1000</v>
      </c>
      <c r="F616" s="27"/>
      <c r="G616" s="8">
        <f>IF(C616=C615,G615,G615+1)</f>
        <v>64</v>
      </c>
      <c r="H616" s="2"/>
      <c r="I616" s="2"/>
      <c r="J616" s="1"/>
    </row>
    <row r="617" ht="12.75">
      <c r="A617" s="2">
        <v>2025</v>
      </c>
      <c r="B617" s="2" t="s">
        <v>36</v>
      </c>
      <c r="C617" s="9" t="s">
        <v>307</v>
      </c>
      <c r="D617" s="14" t="s">
        <v>48</v>
      </c>
      <c r="E617" s="27">
        <v>-1000</v>
      </c>
      <c r="F617" s="27"/>
      <c r="G617" s="8">
        <f>IF(C617=C616,G616,G616+1)</f>
        <v>64</v>
      </c>
      <c r="H617" s="2"/>
      <c r="I617" s="2"/>
      <c r="J617" s="1"/>
    </row>
    <row r="618" ht="12.75">
      <c r="A618" s="2">
        <v>2025</v>
      </c>
      <c r="B618" s="2" t="s">
        <v>36</v>
      </c>
      <c r="C618" s="9" t="s">
        <v>307</v>
      </c>
      <c r="D618" s="14" t="s">
        <v>49</v>
      </c>
      <c r="E618" s="27">
        <v>-5000</v>
      </c>
      <c r="F618" s="27"/>
      <c r="G618" s="8">
        <f>IF(C618=C617,G617,G617+1)</f>
        <v>64</v>
      </c>
      <c r="H618" s="2"/>
      <c r="I618" s="2"/>
      <c r="J618" s="1"/>
    </row>
    <row r="619" ht="12.75">
      <c r="A619" s="2">
        <v>2025</v>
      </c>
      <c r="B619" s="2" t="s">
        <v>36</v>
      </c>
      <c r="C619" s="9" t="s">
        <v>307</v>
      </c>
      <c r="D619" s="14" t="s">
        <v>50</v>
      </c>
      <c r="E619" s="27">
        <v>-6000</v>
      </c>
      <c r="F619" s="27"/>
      <c r="G619" s="8">
        <f>IF(C619=C618,G618,G618+1)</f>
        <v>64</v>
      </c>
      <c r="H619" s="2"/>
      <c r="I619" s="2"/>
      <c r="J619" s="1"/>
    </row>
    <row r="620" ht="12.75">
      <c r="A620" s="2">
        <v>2025</v>
      </c>
      <c r="B620" s="2" t="s">
        <v>36</v>
      </c>
      <c r="C620" s="9" t="s">
        <v>310</v>
      </c>
      <c r="D620" s="14" t="s">
        <v>286</v>
      </c>
      <c r="E620" s="30">
        <v>-1500</v>
      </c>
      <c r="F620" s="30"/>
      <c r="G620" s="8">
        <f>IF(C620=C619,G619,G619+1)</f>
        <v>65</v>
      </c>
      <c r="H620" s="2"/>
      <c r="I620" s="2"/>
      <c r="J620" s="1"/>
    </row>
    <row r="621" ht="12.75">
      <c r="A621" s="2">
        <v>2025</v>
      </c>
      <c r="B621" s="2" t="s">
        <v>36</v>
      </c>
      <c r="C621" s="9" t="s">
        <v>310</v>
      </c>
      <c r="D621" s="14" t="s">
        <v>85</v>
      </c>
      <c r="E621" s="30">
        <v>-1000</v>
      </c>
      <c r="F621" s="30"/>
      <c r="G621" s="8">
        <f>IF(C621=C620,G620,G620+1)</f>
        <v>65</v>
      </c>
      <c r="H621" s="2"/>
      <c r="I621" s="2"/>
      <c r="J621" s="1"/>
    </row>
    <row r="622" ht="12.75">
      <c r="A622" s="2">
        <v>2025</v>
      </c>
      <c r="B622" s="2" t="s">
        <v>36</v>
      </c>
      <c r="C622" s="9" t="s">
        <v>310</v>
      </c>
      <c r="D622" s="14" t="s">
        <v>86</v>
      </c>
      <c r="E622" s="30">
        <v>-2000</v>
      </c>
      <c r="F622" s="30"/>
      <c r="G622" s="8">
        <f>IF(C622=C621,G621,G621+1)</f>
        <v>65</v>
      </c>
      <c r="H622" s="2"/>
      <c r="I622" s="2"/>
      <c r="J622" s="1"/>
    </row>
    <row r="623" ht="12.75">
      <c r="A623" s="2">
        <v>2025</v>
      </c>
      <c r="B623" s="2" t="s">
        <v>36</v>
      </c>
      <c r="C623" s="9" t="s">
        <v>310</v>
      </c>
      <c r="D623" s="14" t="s">
        <v>87</v>
      </c>
      <c r="E623" s="30">
        <v>-750</v>
      </c>
      <c r="F623" s="30"/>
      <c r="G623" s="8">
        <f>IF(C623=C622,G622,G622+1)</f>
        <v>65</v>
      </c>
      <c r="H623" s="2"/>
      <c r="I623" s="2"/>
      <c r="J623" s="1"/>
    </row>
    <row r="624" ht="12.75">
      <c r="A624" s="2">
        <v>2025</v>
      </c>
      <c r="B624" s="2" t="s">
        <v>36</v>
      </c>
      <c r="C624" s="9" t="s">
        <v>310</v>
      </c>
      <c r="D624" s="14" t="s">
        <v>88</v>
      </c>
      <c r="E624" s="30">
        <v>-2000</v>
      </c>
      <c r="F624" s="30"/>
      <c r="G624" s="8">
        <f>IF(C624=C623,G623,G623+1)</f>
        <v>65</v>
      </c>
      <c r="H624" s="2"/>
      <c r="I624" s="2"/>
      <c r="J624" s="1"/>
    </row>
    <row r="625" ht="12.75">
      <c r="A625" s="2">
        <v>2025</v>
      </c>
      <c r="B625" s="2" t="s">
        <v>36</v>
      </c>
      <c r="C625" s="9" t="s">
        <v>310</v>
      </c>
      <c r="D625" s="14" t="s">
        <v>311</v>
      </c>
      <c r="E625" s="30">
        <v>-2000</v>
      </c>
      <c r="F625" s="30"/>
      <c r="G625" s="8">
        <f>IF(C625=C624,G624,G624+1)</f>
        <v>65</v>
      </c>
      <c r="H625" s="2"/>
      <c r="I625" s="2"/>
      <c r="J625" s="1"/>
    </row>
    <row r="626" ht="12.75">
      <c r="A626" s="2">
        <v>2025</v>
      </c>
      <c r="B626" s="2" t="s">
        <v>36</v>
      </c>
      <c r="C626" s="9" t="s">
        <v>310</v>
      </c>
      <c r="D626" s="14" t="s">
        <v>91</v>
      </c>
      <c r="E626" s="27">
        <v>-19200</v>
      </c>
      <c r="F626" s="27"/>
      <c r="G626" s="8">
        <f>IF(C626=C625,G625,G625+1)</f>
        <v>65</v>
      </c>
      <c r="H626" s="2"/>
      <c r="I626" s="2"/>
      <c r="J626" s="1"/>
    </row>
    <row r="627" ht="12.75">
      <c r="A627" s="2">
        <v>2025</v>
      </c>
      <c r="B627" s="2" t="s">
        <v>36</v>
      </c>
      <c r="C627" s="9" t="s">
        <v>310</v>
      </c>
      <c r="D627" s="14" t="s">
        <v>92</v>
      </c>
      <c r="E627" s="30">
        <v>-1296</v>
      </c>
      <c r="F627" s="30"/>
      <c r="G627" s="8">
        <f>IF(C627=C626,G626,G626+1)</f>
        <v>65</v>
      </c>
      <c r="H627" s="2"/>
      <c r="I627" s="2"/>
      <c r="J627" s="1"/>
    </row>
    <row r="628" ht="12.75">
      <c r="A628" s="2">
        <v>2025</v>
      </c>
      <c r="B628" s="2" t="s">
        <v>36</v>
      </c>
      <c r="C628" s="9" t="s">
        <v>310</v>
      </c>
      <c r="D628" s="14" t="s">
        <v>93</v>
      </c>
      <c r="E628" s="30">
        <v>0</v>
      </c>
      <c r="F628" s="30"/>
      <c r="G628" s="8">
        <f>IF(C628=C627,G627,G627+1)</f>
        <v>65</v>
      </c>
      <c r="H628" s="2"/>
      <c r="I628" s="2"/>
      <c r="J628" s="1"/>
    </row>
    <row r="629" ht="12.75">
      <c r="A629" s="2">
        <v>2025</v>
      </c>
      <c r="B629" s="2" t="s">
        <v>36</v>
      </c>
      <c r="C629" s="9" t="s">
        <v>310</v>
      </c>
      <c r="D629" s="14" t="s">
        <v>94</v>
      </c>
      <c r="E629" s="30">
        <v>0</v>
      </c>
      <c r="F629" s="30"/>
      <c r="G629" s="8">
        <f>IF(C629=C628,G628,G628+1)</f>
        <v>65</v>
      </c>
      <c r="H629" s="2"/>
      <c r="I629" s="2"/>
      <c r="J629" s="1"/>
    </row>
    <row r="630" ht="12.75">
      <c r="A630" s="2"/>
      <c r="B630" s="2"/>
      <c r="C630" s="9"/>
      <c r="D630" s="43"/>
      <c r="E630" s="15"/>
      <c r="F630" s="15"/>
      <c r="G630" s="2"/>
      <c r="H630" s="2"/>
      <c r="I630" s="2"/>
      <c r="J630" s="1"/>
    </row>
    <row r="631" ht="12.75">
      <c r="A631" s="2"/>
      <c r="B631" s="2"/>
      <c r="C631" s="9"/>
      <c r="D631" s="43"/>
      <c r="E631" s="15"/>
      <c r="F631" s="15"/>
      <c r="G631" s="2"/>
      <c r="H631" s="2"/>
      <c r="I631" s="2"/>
      <c r="J631" s="1"/>
    </row>
    <row r="632" ht="12.75">
      <c r="A632" s="2"/>
      <c r="B632" s="2"/>
      <c r="C632" s="9"/>
      <c r="D632" s="14"/>
      <c r="E632" s="15"/>
      <c r="F632" s="15"/>
      <c r="G632" s="2"/>
      <c r="H632" s="2"/>
      <c r="I632" s="2"/>
      <c r="J632" s="1"/>
    </row>
    <row r="633" ht="12.75">
      <c r="A633" s="2"/>
      <c r="B633" s="2"/>
      <c r="C633" s="9"/>
      <c r="D633" s="43"/>
      <c r="E633" s="15"/>
      <c r="F633" s="15"/>
      <c r="G633" s="2"/>
      <c r="H633" s="2"/>
      <c r="I633" s="2"/>
      <c r="J633" s="1"/>
    </row>
    <row r="634" ht="12.75">
      <c r="A634" s="2"/>
      <c r="B634" s="2"/>
      <c r="C634" s="9"/>
      <c r="D634" s="43"/>
      <c r="E634" s="15"/>
      <c r="F634" s="15"/>
      <c r="G634" s="2"/>
      <c r="H634" s="2"/>
      <c r="I634" s="2"/>
      <c r="J634" s="1"/>
    </row>
    <row r="635" ht="12.75">
      <c r="A635" s="2"/>
      <c r="B635" s="2"/>
      <c r="C635" s="9"/>
      <c r="D635" s="43"/>
      <c r="E635" s="15"/>
      <c r="F635" s="15"/>
      <c r="G635" s="2"/>
      <c r="H635" s="2"/>
      <c r="I635" s="2"/>
      <c r="J635" s="1"/>
    </row>
    <row r="636" ht="12.75">
      <c r="A636" s="2"/>
      <c r="B636" s="2"/>
      <c r="C636" s="9"/>
      <c r="D636" s="43"/>
      <c r="E636" s="15"/>
      <c r="F636" s="15"/>
      <c r="G636" s="2"/>
      <c r="H636" s="2"/>
      <c r="I636" s="2"/>
      <c r="J636" s="1"/>
    </row>
    <row r="637" ht="12.75">
      <c r="A637" s="2"/>
      <c r="B637" s="2"/>
      <c r="C637" s="9"/>
      <c r="D637" s="43"/>
      <c r="E637" s="15"/>
      <c r="F637" s="15"/>
      <c r="G637" s="2"/>
      <c r="H637" s="2"/>
      <c r="I637" s="2"/>
      <c r="J637" s="1"/>
    </row>
    <row r="638" ht="12.75">
      <c r="A638" s="2"/>
      <c r="B638" s="2"/>
      <c r="C638" s="9"/>
      <c r="D638" s="43"/>
      <c r="E638" s="15"/>
      <c r="F638" s="15"/>
      <c r="G638" s="2"/>
      <c r="H638" s="2"/>
      <c r="I638" s="2"/>
      <c r="J638" s="1"/>
    </row>
    <row r="639" ht="12.75">
      <c r="A639" s="2"/>
      <c r="B639" s="2"/>
      <c r="C639" s="9"/>
      <c r="D639" s="43"/>
      <c r="E639" s="15"/>
      <c r="F639" s="15"/>
      <c r="G639" s="2"/>
      <c r="H639" s="2"/>
      <c r="I639" s="2"/>
      <c r="J639" s="1"/>
    </row>
    <row r="640" ht="12.75">
      <c r="A640" s="2"/>
      <c r="B640" s="2"/>
      <c r="C640" s="9"/>
      <c r="D640" s="43"/>
      <c r="E640" s="15"/>
      <c r="F640" s="15"/>
      <c r="G640" s="2"/>
      <c r="H640" s="2"/>
      <c r="I640" s="2"/>
      <c r="J640" s="1"/>
    </row>
    <row r="641" ht="12.75">
      <c r="A641" s="2"/>
      <c r="B641" s="2"/>
      <c r="C641" s="9"/>
      <c r="D641" s="43"/>
      <c r="E641" s="15"/>
      <c r="F641" s="15"/>
      <c r="G641" s="2"/>
      <c r="H641" s="2"/>
      <c r="I641" s="2"/>
      <c r="J641" s="1"/>
    </row>
    <row r="642" ht="12.75">
      <c r="A642" s="2"/>
      <c r="B642" s="2"/>
      <c r="C642" s="9"/>
      <c r="D642" s="44"/>
      <c r="E642" s="45"/>
      <c r="F642" s="45"/>
      <c r="G642" s="2"/>
      <c r="H642" s="2"/>
      <c r="I642" s="2"/>
      <c r="J642" s="1"/>
    </row>
    <row r="643" ht="12.75">
      <c r="A643" s="2"/>
      <c r="B643" s="2"/>
      <c r="C643" s="9"/>
      <c r="D643" s="43"/>
      <c r="E643" s="15"/>
      <c r="F643" s="15"/>
      <c r="G643" s="2"/>
      <c r="H643" s="2"/>
      <c r="I643" s="2"/>
      <c r="J643" s="1"/>
    </row>
    <row r="644" ht="12.75">
      <c r="A644" s="2"/>
      <c r="B644" s="2"/>
      <c r="C644" s="9"/>
      <c r="D644" s="46"/>
      <c r="E644" s="17"/>
      <c r="F644" s="17"/>
      <c r="G644" s="2"/>
      <c r="H644" s="2"/>
      <c r="I644" s="2"/>
      <c r="J644" s="1"/>
    </row>
    <row r="645" ht="12.75">
      <c r="A645" s="2"/>
      <c r="B645" s="2"/>
      <c r="C645" s="9"/>
      <c r="D645" s="43"/>
      <c r="E645" s="15"/>
      <c r="F645" s="15"/>
      <c r="G645" s="2"/>
      <c r="H645" s="2"/>
      <c r="I645" s="2"/>
      <c r="J645" s="1"/>
    </row>
    <row r="646" ht="12.75">
      <c r="A646" s="2"/>
      <c r="B646" s="2"/>
      <c r="C646" s="9"/>
      <c r="D646" s="43"/>
      <c r="E646" s="15"/>
      <c r="F646" s="15"/>
      <c r="G646" s="2"/>
      <c r="H646" s="2"/>
      <c r="I646" s="2"/>
      <c r="J646" s="1"/>
    </row>
    <row r="647" ht="12.75">
      <c r="A647" s="2"/>
      <c r="B647" s="2"/>
      <c r="C647" s="9"/>
      <c r="D647" s="14"/>
      <c r="E647" s="15"/>
      <c r="F647" s="15"/>
      <c r="G647" s="2"/>
      <c r="H647" s="2"/>
      <c r="I647" s="2"/>
      <c r="J647" s="1"/>
    </row>
    <row r="648" ht="12.75">
      <c r="A648" s="2"/>
      <c r="B648" s="2"/>
      <c r="C648" s="9"/>
      <c r="D648" s="43"/>
      <c r="E648" s="15"/>
      <c r="F648" s="15"/>
      <c r="G648" s="2"/>
      <c r="H648" s="2"/>
      <c r="I648" s="2"/>
      <c r="J648" s="1"/>
    </row>
    <row r="649" ht="12.75">
      <c r="A649" s="2"/>
      <c r="B649" s="2"/>
      <c r="C649" s="9"/>
      <c r="D649" s="44"/>
      <c r="E649" s="45"/>
      <c r="F649" s="45"/>
      <c r="G649" s="2"/>
      <c r="H649" s="2"/>
      <c r="I649" s="2"/>
      <c r="J649" s="1"/>
    </row>
    <row r="650" ht="12.75">
      <c r="A650" s="2"/>
      <c r="B650" s="2"/>
      <c r="C650" s="9"/>
      <c r="D650" s="44"/>
      <c r="E650" s="45"/>
      <c r="F650" s="45"/>
      <c r="G650" s="2"/>
      <c r="H650" s="2"/>
      <c r="I650" s="2"/>
      <c r="J650" s="1"/>
    </row>
    <row r="651" ht="12.75">
      <c r="A651" s="2"/>
      <c r="B651" s="2"/>
      <c r="C651" s="9"/>
      <c r="D651" s="44"/>
      <c r="E651" s="45"/>
      <c r="F651" s="45"/>
      <c r="G651" s="2"/>
      <c r="H651" s="2"/>
      <c r="I651" s="2"/>
      <c r="J651" s="1"/>
    </row>
    <row r="652" ht="12.75">
      <c r="A652" s="2"/>
      <c r="B652" s="2"/>
      <c r="C652" s="9"/>
      <c r="D652" s="43"/>
      <c r="E652" s="15"/>
      <c r="F652" s="15"/>
      <c r="G652" s="2"/>
      <c r="H652" s="2"/>
      <c r="I652" s="2"/>
      <c r="J652" s="1"/>
    </row>
    <row r="653" ht="12.75">
      <c r="A653" s="2"/>
      <c r="B653" s="2"/>
      <c r="C653" s="9"/>
      <c r="D653" s="14"/>
      <c r="E653" s="15"/>
      <c r="F653" s="15"/>
      <c r="G653" s="2"/>
      <c r="H653" s="2"/>
      <c r="I653" s="2"/>
      <c r="J653" s="1"/>
    </row>
    <row r="654" ht="12.75">
      <c r="A654" s="2"/>
      <c r="B654" s="2"/>
      <c r="C654" s="9"/>
      <c r="D654" s="43"/>
      <c r="E654" s="15"/>
      <c r="F654" s="15"/>
      <c r="G654" s="2"/>
      <c r="H654" s="2"/>
      <c r="I654" s="2"/>
      <c r="J654" s="1"/>
    </row>
    <row r="655" ht="12.75">
      <c r="A655" s="2"/>
      <c r="B655" s="2"/>
      <c r="C655" s="9"/>
      <c r="D655" s="43"/>
      <c r="E655" s="15"/>
      <c r="F655" s="15"/>
      <c r="G655" s="2"/>
      <c r="H655" s="2"/>
      <c r="I655" s="2"/>
      <c r="J655" s="1"/>
    </row>
    <row r="656" ht="12.75">
      <c r="A656" s="2"/>
      <c r="B656" s="2"/>
      <c r="C656" s="9"/>
      <c r="D656" s="43"/>
      <c r="E656" s="15"/>
      <c r="F656" s="15"/>
      <c r="G656" s="2"/>
      <c r="H656" s="2"/>
      <c r="I656" s="2"/>
      <c r="J656" s="1"/>
    </row>
    <row r="657" ht="12.75">
      <c r="A657" s="2"/>
      <c r="B657" s="2"/>
      <c r="C657" s="9"/>
      <c r="D657" s="43"/>
      <c r="E657" s="15"/>
      <c r="F657" s="15"/>
      <c r="G657" s="2"/>
      <c r="H657" s="2"/>
      <c r="I657" s="2"/>
      <c r="J657" s="1"/>
    </row>
    <row r="658" ht="12.75">
      <c r="A658" s="2"/>
      <c r="B658" s="2"/>
      <c r="C658" s="9"/>
      <c r="D658" s="43"/>
      <c r="E658" s="15"/>
      <c r="F658" s="15"/>
      <c r="G658" s="2"/>
      <c r="H658" s="2"/>
      <c r="I658" s="2"/>
      <c r="J658" s="1"/>
    </row>
    <row r="659" ht="12.75">
      <c r="A659" s="2"/>
      <c r="B659" s="2"/>
      <c r="C659" s="9"/>
      <c r="D659" s="43"/>
      <c r="E659" s="15"/>
      <c r="F659" s="15"/>
      <c r="G659" s="2"/>
      <c r="H659" s="2"/>
      <c r="I659" s="2"/>
      <c r="J659" s="1"/>
    </row>
    <row r="660" ht="12.75">
      <c r="A660" s="2"/>
      <c r="B660" s="2"/>
      <c r="C660" s="9"/>
      <c r="D660" s="14"/>
      <c r="E660" s="15"/>
      <c r="F660" s="15"/>
      <c r="G660" s="2"/>
      <c r="H660" s="2"/>
      <c r="I660" s="2"/>
      <c r="J660" s="1"/>
    </row>
    <row r="661" ht="12.75">
      <c r="A661" s="2"/>
      <c r="B661" s="2"/>
      <c r="C661" s="9"/>
      <c r="D661" s="44"/>
      <c r="E661" s="45"/>
      <c r="F661" s="45"/>
      <c r="G661" s="2"/>
      <c r="H661" s="2"/>
      <c r="I661" s="2"/>
      <c r="J661" s="1"/>
    </row>
    <row r="662" ht="12.75">
      <c r="A662" s="2"/>
      <c r="B662" s="2"/>
      <c r="C662" s="9"/>
      <c r="D662" s="44"/>
      <c r="E662" s="45"/>
      <c r="F662" s="45"/>
      <c r="G662" s="2"/>
      <c r="H662" s="2"/>
      <c r="I662" s="2"/>
      <c r="J662" s="1"/>
    </row>
    <row r="663" ht="12.75">
      <c r="A663" s="2"/>
      <c r="B663" s="2"/>
      <c r="C663" s="9"/>
      <c r="D663" s="2"/>
      <c r="E663" s="2"/>
      <c r="F663" s="2"/>
      <c r="G663" s="8"/>
      <c r="H663" s="1"/>
      <c r="I663" s="1"/>
      <c r="J663" s="1"/>
    </row>
    <row r="664" ht="12.75">
      <c r="A664" s="2"/>
      <c r="B664" s="2"/>
      <c r="C664" s="9"/>
      <c r="D664" s="2"/>
      <c r="E664" s="2"/>
      <c r="F664" s="2"/>
      <c r="G664" s="8"/>
      <c r="H664" s="1"/>
      <c r="I664" s="1"/>
      <c r="J664" s="1"/>
    </row>
    <row r="665" ht="12.75">
      <c r="A665" s="2"/>
      <c r="B665" s="2"/>
      <c r="C665" s="9"/>
      <c r="D665" s="2"/>
      <c r="E665" s="2"/>
      <c r="F665" s="2"/>
      <c r="G665" s="8"/>
      <c r="H665" s="1"/>
      <c r="I665" s="1"/>
      <c r="J665" s="1"/>
    </row>
    <row r="666" ht="12.75">
      <c r="A666" s="2"/>
      <c r="B666" s="2"/>
      <c r="C666" s="9"/>
      <c r="D666" s="2"/>
      <c r="E666" s="2"/>
      <c r="F666" s="2"/>
      <c r="G666" s="8"/>
      <c r="H666" s="1"/>
      <c r="I666" s="1"/>
      <c r="J666" s="1"/>
    </row>
    <row r="667" ht="12.75">
      <c r="A667" s="2"/>
      <c r="B667" s="2"/>
      <c r="C667" s="9"/>
      <c r="D667" s="2"/>
      <c r="E667" s="2"/>
      <c r="F667" s="2"/>
      <c r="G667" s="8"/>
      <c r="H667" s="1"/>
      <c r="I667" s="1"/>
      <c r="J667" s="1"/>
    </row>
    <row r="668" ht="12.75">
      <c r="A668" s="2"/>
      <c r="B668" s="2"/>
      <c r="C668" s="9"/>
      <c r="D668" s="2"/>
      <c r="E668" s="2"/>
      <c r="F668" s="2"/>
      <c r="G668" s="8"/>
      <c r="H668" s="1"/>
      <c r="I668" s="1"/>
      <c r="J668" s="1"/>
    </row>
    <row r="669" ht="12.75">
      <c r="A669" s="2"/>
      <c r="B669" s="2"/>
      <c r="C669" s="9"/>
      <c r="D669" s="2"/>
      <c r="E669" s="2"/>
      <c r="F669" s="2"/>
      <c r="G669" s="8"/>
      <c r="H669" s="1"/>
      <c r="I669" s="1"/>
      <c r="J669" s="1"/>
    </row>
    <row r="670" ht="12.75">
      <c r="A670" s="2"/>
      <c r="B670" s="2"/>
      <c r="C670" s="9"/>
      <c r="D670" s="2"/>
      <c r="E670" s="2"/>
      <c r="F670" s="2"/>
      <c r="G670" s="8"/>
      <c r="H670" s="1"/>
      <c r="I670" s="1"/>
      <c r="J670" s="1"/>
    </row>
    <row r="671" ht="12.75">
      <c r="A671" s="2"/>
      <c r="B671" s="2"/>
      <c r="C671" s="9"/>
      <c r="D671" s="2"/>
      <c r="E671" s="2"/>
      <c r="F671" s="2"/>
      <c r="G671" s="8"/>
      <c r="H671" s="1"/>
      <c r="I671" s="1"/>
      <c r="J671" s="1"/>
    </row>
    <row r="672" ht="12.75">
      <c r="A672" s="2"/>
      <c r="B672" s="2"/>
      <c r="C672" s="9"/>
      <c r="D672" s="2"/>
      <c r="E672" s="2"/>
      <c r="F672" s="2"/>
      <c r="G672" s="8"/>
      <c r="H672" s="1"/>
      <c r="I672" s="1"/>
      <c r="J672" s="1"/>
    </row>
    <row r="673" ht="12.75">
      <c r="A673" s="2"/>
      <c r="B673" s="2"/>
      <c r="C673" s="9"/>
      <c r="D673" s="2"/>
      <c r="E673" s="2"/>
      <c r="F673" s="2"/>
      <c r="G673" s="8"/>
      <c r="H673" s="1"/>
      <c r="I673" s="1"/>
      <c r="J673" s="1"/>
    </row>
    <row r="674" ht="12.75">
      <c r="A674" s="2"/>
      <c r="B674" s="2"/>
      <c r="C674" s="9"/>
      <c r="D674" s="2"/>
      <c r="E674" s="2"/>
      <c r="F674" s="2"/>
      <c r="G674" s="8"/>
      <c r="H674" s="1"/>
      <c r="I674" s="1"/>
      <c r="J674" s="1"/>
    </row>
    <row r="675" ht="12.75">
      <c r="A675" s="2"/>
      <c r="B675" s="2"/>
      <c r="C675" s="9"/>
      <c r="D675" s="2"/>
      <c r="E675" s="2"/>
      <c r="F675" s="2"/>
      <c r="G675" s="8"/>
      <c r="H675" s="1"/>
      <c r="I675" s="1"/>
      <c r="J675" s="1"/>
    </row>
    <row r="676" ht="12.75">
      <c r="A676" s="2"/>
      <c r="B676" s="2"/>
      <c r="C676" s="9"/>
      <c r="D676" s="2"/>
      <c r="E676" s="2"/>
      <c r="F676" s="2"/>
      <c r="G676" s="8"/>
      <c r="H676" s="1"/>
      <c r="I676" s="1"/>
      <c r="J676" s="1"/>
    </row>
    <row r="677" ht="12.75">
      <c r="A677" s="2"/>
      <c r="B677" s="2"/>
      <c r="C677" s="9"/>
      <c r="D677" s="2"/>
      <c r="E677" s="2"/>
      <c r="F677" s="2"/>
      <c r="G677" s="8"/>
      <c r="H677" s="1"/>
      <c r="I677" s="1"/>
      <c r="J677" s="1"/>
    </row>
    <row r="678" ht="12.75">
      <c r="A678" s="2"/>
      <c r="B678" s="2"/>
      <c r="C678" s="9"/>
      <c r="D678" s="2"/>
      <c r="E678" s="2"/>
      <c r="F678" s="2"/>
      <c r="G678" s="8"/>
      <c r="H678" s="1"/>
      <c r="I678" s="1"/>
      <c r="J678" s="1"/>
    </row>
    <row r="679" ht="12.75">
      <c r="A679" s="2"/>
      <c r="B679" s="2"/>
      <c r="C679" s="9"/>
      <c r="D679" s="2"/>
      <c r="E679" s="2"/>
      <c r="F679" s="2"/>
      <c r="G679" s="8"/>
      <c r="H679" s="1"/>
      <c r="I679" s="1"/>
      <c r="J679" s="1"/>
    </row>
    <row r="680" ht="12.75">
      <c r="A680" s="2"/>
      <c r="B680" s="2"/>
      <c r="C680" s="9"/>
      <c r="D680" s="2"/>
      <c r="E680" s="2"/>
      <c r="F680" s="2"/>
      <c r="G680" s="8"/>
      <c r="H680" s="1"/>
      <c r="I680" s="1"/>
      <c r="J680" s="1"/>
    </row>
    <row r="681" ht="12.75">
      <c r="A681" s="2"/>
      <c r="B681" s="2"/>
      <c r="C681" s="9"/>
      <c r="D681" s="2"/>
      <c r="E681" s="2"/>
      <c r="F681" s="2"/>
      <c r="G681" s="8"/>
      <c r="H681" s="1"/>
      <c r="I681" s="1"/>
      <c r="J681" s="1"/>
    </row>
    <row r="682" ht="12.75">
      <c r="A682" s="2"/>
      <c r="B682" s="2"/>
      <c r="C682" s="9"/>
      <c r="D682" s="2"/>
      <c r="E682" s="2"/>
      <c r="F682" s="2"/>
      <c r="G682" s="8"/>
      <c r="H682" s="1"/>
      <c r="I682" s="1"/>
      <c r="J682" s="1"/>
    </row>
    <row r="683" ht="12.75">
      <c r="A683" s="2"/>
      <c r="B683" s="2"/>
      <c r="C683" s="9"/>
      <c r="D683" s="2"/>
      <c r="E683" s="2"/>
      <c r="F683" s="2"/>
      <c r="G683" s="8"/>
      <c r="H683" s="1"/>
      <c r="I683" s="1"/>
      <c r="J683" s="1"/>
    </row>
    <row r="684" ht="12.75">
      <c r="A684" s="2"/>
      <c r="B684" s="2"/>
      <c r="C684" s="9"/>
      <c r="D684" s="2"/>
      <c r="E684" s="2"/>
      <c r="F684" s="2"/>
      <c r="G684" s="8"/>
      <c r="H684" s="1"/>
      <c r="I684" s="1"/>
      <c r="J684" s="1"/>
    </row>
    <row r="685" ht="12.75">
      <c r="A685" s="2"/>
      <c r="B685" s="2"/>
      <c r="C685" s="9"/>
      <c r="D685" s="2"/>
      <c r="E685" s="2"/>
      <c r="F685" s="2"/>
      <c r="G685" s="8"/>
      <c r="H685" s="1"/>
      <c r="I685" s="1"/>
      <c r="J685" s="1"/>
    </row>
    <row r="686" ht="12.75">
      <c r="A686" s="2"/>
      <c r="B686" s="2"/>
      <c r="C686" s="9"/>
      <c r="D686" s="2"/>
      <c r="E686" s="2"/>
      <c r="F686" s="2"/>
      <c r="G686" s="8"/>
      <c r="H686" s="1"/>
      <c r="I686" s="1"/>
      <c r="J686" s="1"/>
    </row>
    <row r="687" ht="12.75">
      <c r="A687" s="2"/>
      <c r="B687" s="2"/>
      <c r="C687" s="9"/>
      <c r="D687" s="2"/>
      <c r="E687" s="2"/>
      <c r="F687" s="2"/>
      <c r="G687" s="8"/>
      <c r="H687" s="1"/>
      <c r="I687" s="1"/>
      <c r="J687" s="1"/>
    </row>
    <row r="688" ht="12.75">
      <c r="A688" s="2"/>
      <c r="B688" s="2"/>
      <c r="C688" s="9"/>
      <c r="D688" s="2"/>
      <c r="E688" s="2"/>
      <c r="F688" s="2"/>
      <c r="G688" s="8"/>
      <c r="H688" s="1"/>
      <c r="I688" s="1"/>
      <c r="J688" s="1"/>
    </row>
    <row r="689" ht="12.75">
      <c r="A689" s="2"/>
      <c r="B689" s="2"/>
      <c r="C689" s="9"/>
      <c r="D689" s="2"/>
      <c r="E689" s="2"/>
      <c r="F689" s="2"/>
      <c r="G689" s="8"/>
      <c r="H689" s="1"/>
      <c r="I689" s="1"/>
      <c r="J689" s="1"/>
    </row>
    <row r="690" ht="12.75">
      <c r="A690" s="2"/>
      <c r="B690" s="2"/>
      <c r="C690" s="9"/>
      <c r="D690" s="2"/>
      <c r="E690" s="2"/>
      <c r="F690" s="2"/>
      <c r="G690" s="8"/>
      <c r="H690" s="1"/>
      <c r="I690" s="1"/>
      <c r="J690" s="1"/>
    </row>
    <row r="691" ht="12.75">
      <c r="A691" s="2"/>
      <c r="B691" s="2"/>
      <c r="C691" s="9"/>
      <c r="D691" s="2"/>
      <c r="E691" s="2"/>
      <c r="F691" s="2"/>
      <c r="G691" s="8"/>
      <c r="H691" s="1"/>
      <c r="I691" s="1"/>
      <c r="J691" s="1"/>
    </row>
    <row r="692" ht="12.75">
      <c r="A692" s="2"/>
      <c r="B692" s="2"/>
      <c r="C692" s="9"/>
      <c r="D692" s="2"/>
      <c r="E692" s="2"/>
      <c r="F692" s="2"/>
      <c r="G692" s="8"/>
      <c r="H692" s="1"/>
      <c r="I692" s="1"/>
      <c r="J692" s="1"/>
    </row>
    <row r="693" ht="12.75">
      <c r="A693" s="2"/>
      <c r="B693" s="2"/>
      <c r="C693" s="9"/>
      <c r="D693" s="2"/>
      <c r="E693" s="2"/>
      <c r="F693" s="2"/>
      <c r="G693" s="8"/>
      <c r="H693" s="1"/>
      <c r="I693" s="1"/>
      <c r="J693" s="1"/>
    </row>
    <row r="694" ht="12.75">
      <c r="A694" s="2"/>
      <c r="B694" s="2"/>
      <c r="C694" s="9"/>
      <c r="D694" s="2"/>
      <c r="E694" s="2"/>
      <c r="F694" s="2"/>
      <c r="G694" s="8"/>
      <c r="H694" s="1"/>
      <c r="I694" s="1"/>
      <c r="J694" s="1"/>
    </row>
    <row r="695" ht="12.75">
      <c r="A695" s="2"/>
      <c r="B695" s="2"/>
      <c r="C695" s="9"/>
      <c r="D695" s="2"/>
      <c r="E695" s="2"/>
      <c r="F695" s="2"/>
      <c r="G695" s="8"/>
      <c r="H695" s="1"/>
      <c r="I695" s="1"/>
      <c r="J695" s="1"/>
    </row>
    <row r="696" ht="12.75">
      <c r="A696" s="2"/>
      <c r="B696" s="2"/>
      <c r="C696" s="9"/>
      <c r="D696" s="2"/>
      <c r="E696" s="2"/>
      <c r="F696" s="2"/>
      <c r="G696" s="8"/>
      <c r="H696" s="1"/>
      <c r="I696" s="1"/>
      <c r="J696" s="1"/>
    </row>
    <row r="697" ht="12.75">
      <c r="A697" s="2"/>
      <c r="B697" s="2"/>
      <c r="C697" s="9"/>
      <c r="D697" s="2"/>
      <c r="E697" s="2"/>
      <c r="F697" s="2"/>
      <c r="G697" s="8"/>
      <c r="H697" s="1"/>
      <c r="I697" s="1"/>
      <c r="J697" s="1"/>
    </row>
    <row r="698" ht="12.75">
      <c r="A698" s="2"/>
      <c r="B698" s="2"/>
      <c r="C698" s="9"/>
      <c r="D698" s="2"/>
      <c r="E698" s="2"/>
      <c r="F698" s="2"/>
      <c r="G698" s="8"/>
      <c r="H698" s="1"/>
      <c r="I698" s="1"/>
      <c r="J698" s="1"/>
    </row>
    <row r="699" ht="12.75">
      <c r="A699" s="2"/>
      <c r="B699" s="2"/>
      <c r="C699" s="9"/>
      <c r="D699" s="2"/>
      <c r="E699" s="2"/>
      <c r="F699" s="2"/>
      <c r="G699" s="8"/>
      <c r="H699" s="1"/>
      <c r="I699" s="1"/>
      <c r="J699" s="1"/>
    </row>
    <row r="700" ht="12.75">
      <c r="A700" s="2"/>
      <c r="B700" s="2"/>
      <c r="C700" s="9"/>
      <c r="D700" s="2"/>
      <c r="E700" s="2"/>
      <c r="F700" s="2"/>
      <c r="G700" s="8"/>
      <c r="H700" s="1"/>
      <c r="I700" s="1"/>
      <c r="J700" s="1"/>
    </row>
    <row r="701" ht="12.75">
      <c r="A701" s="2"/>
      <c r="B701" s="2"/>
      <c r="C701" s="9"/>
      <c r="D701" s="2"/>
      <c r="E701" s="2"/>
      <c r="F701" s="2"/>
      <c r="G701" s="8"/>
      <c r="H701" s="1"/>
      <c r="I701" s="1"/>
      <c r="J701" s="1"/>
    </row>
    <row r="702" ht="12.75">
      <c r="A702" s="2"/>
      <c r="B702" s="2"/>
      <c r="C702" s="9"/>
      <c r="D702" s="2"/>
      <c r="E702" s="2"/>
      <c r="F702" s="2"/>
      <c r="G702" s="8"/>
      <c r="H702" s="1"/>
      <c r="I702" s="1"/>
      <c r="J702" s="1"/>
    </row>
    <row r="703" ht="12.75">
      <c r="A703" s="2"/>
      <c r="B703" s="2"/>
      <c r="C703" s="9"/>
      <c r="D703" s="2"/>
      <c r="E703" s="2"/>
      <c r="F703" s="2"/>
      <c r="G703" s="8"/>
      <c r="H703" s="1"/>
      <c r="I703" s="1"/>
      <c r="J703" s="1"/>
    </row>
    <row r="704" ht="12.75">
      <c r="A704" s="2"/>
      <c r="B704" s="2"/>
      <c r="C704" s="9"/>
      <c r="D704" s="2"/>
      <c r="E704" s="2"/>
      <c r="F704" s="2"/>
      <c r="G704" s="8"/>
      <c r="H704" s="1"/>
      <c r="I704" s="1"/>
      <c r="J704" s="1"/>
    </row>
    <row r="705" ht="12.75">
      <c r="A705" s="2"/>
      <c r="B705" s="2"/>
      <c r="C705" s="9"/>
      <c r="D705" s="2"/>
      <c r="E705" s="2"/>
      <c r="F705" s="2"/>
      <c r="G705" s="8"/>
      <c r="H705" s="1"/>
      <c r="I705" s="1"/>
      <c r="J705" s="1"/>
    </row>
    <row r="706" ht="12.75">
      <c r="A706" s="2"/>
      <c r="B706" s="2"/>
      <c r="C706" s="9"/>
      <c r="D706" s="2"/>
      <c r="E706" s="2"/>
      <c r="F706" s="2"/>
      <c r="G706" s="8"/>
      <c r="H706" s="1"/>
      <c r="I706" s="1"/>
      <c r="J706" s="1"/>
    </row>
    <row r="707" ht="12.75">
      <c r="A707" s="2"/>
      <c r="B707" s="2"/>
      <c r="C707" s="9"/>
      <c r="D707" s="2"/>
      <c r="E707" s="2"/>
      <c r="F707" s="2"/>
      <c r="G707" s="8"/>
      <c r="H707" s="1"/>
      <c r="I707" s="1"/>
      <c r="J707" s="1"/>
    </row>
    <row r="708" ht="12.75">
      <c r="A708" s="2"/>
      <c r="B708" s="2"/>
      <c r="C708" s="9"/>
      <c r="D708" s="2"/>
      <c r="E708" s="2"/>
      <c r="F708" s="2"/>
      <c r="G708" s="8"/>
      <c r="H708" s="1"/>
      <c r="I708" s="1"/>
      <c r="J708" s="1"/>
    </row>
    <row r="709" ht="12.75">
      <c r="A709" s="2"/>
      <c r="B709" s="2"/>
      <c r="C709" s="9"/>
      <c r="D709" s="2"/>
      <c r="E709" s="2"/>
      <c r="F709" s="2"/>
      <c r="G709" s="8"/>
      <c r="H709" s="1"/>
      <c r="I709" s="1"/>
      <c r="J709" s="1"/>
    </row>
    <row r="710" ht="12.75">
      <c r="A710" s="2"/>
      <c r="B710" s="2"/>
      <c r="C710" s="9"/>
      <c r="D710" s="2"/>
      <c r="E710" s="2"/>
      <c r="F710" s="2"/>
      <c r="G710" s="8"/>
      <c r="H710" s="1"/>
      <c r="I710" s="1"/>
      <c r="J710" s="1"/>
    </row>
    <row r="711" ht="12.75">
      <c r="A711" s="2"/>
      <c r="B711" s="2"/>
      <c r="C711" s="9"/>
      <c r="D711" s="2"/>
      <c r="E711" s="2"/>
      <c r="F711" s="2"/>
      <c r="G711" s="8"/>
      <c r="H711" s="1"/>
      <c r="I711" s="1"/>
      <c r="J711" s="1"/>
    </row>
    <row r="712" ht="12.75">
      <c r="A712" s="2"/>
      <c r="B712" s="2"/>
      <c r="C712" s="9"/>
      <c r="D712" s="2"/>
      <c r="E712" s="2"/>
      <c r="F712" s="2"/>
      <c r="G712" s="8"/>
      <c r="H712" s="1"/>
      <c r="I712" s="1"/>
      <c r="J712" s="1"/>
    </row>
    <row r="713" ht="12.75">
      <c r="A713" s="2"/>
      <c r="B713" s="2"/>
      <c r="C713" s="9"/>
      <c r="D713" s="2"/>
      <c r="E713" s="2"/>
      <c r="F713" s="2"/>
      <c r="G713" s="8"/>
      <c r="H713" s="1"/>
      <c r="I713" s="1"/>
      <c r="J713" s="1"/>
    </row>
    <row r="714" ht="12.75">
      <c r="A714" s="2"/>
      <c r="B714" s="2"/>
      <c r="C714" s="9"/>
      <c r="D714" s="2"/>
      <c r="E714" s="2"/>
      <c r="F714" s="2"/>
      <c r="G714" s="8"/>
      <c r="H714" s="1"/>
      <c r="I714" s="1"/>
      <c r="J714" s="1"/>
    </row>
    <row r="715" ht="12.75">
      <c r="A715" s="2"/>
      <c r="B715" s="2"/>
      <c r="C715" s="9"/>
      <c r="D715" s="2"/>
      <c r="E715" s="2"/>
      <c r="F715" s="2"/>
      <c r="G715" s="8"/>
      <c r="H715" s="1"/>
      <c r="I715" s="1"/>
      <c r="J715" s="1"/>
    </row>
    <row r="716" ht="12.75">
      <c r="A716" s="2"/>
      <c r="B716" s="2"/>
      <c r="C716" s="9"/>
      <c r="D716" s="2"/>
      <c r="E716" s="2"/>
      <c r="F716" s="2"/>
      <c r="G716" s="8"/>
      <c r="H716" s="1"/>
      <c r="I716" s="1"/>
      <c r="J716" s="1"/>
    </row>
    <row r="717" ht="12.75">
      <c r="A717" s="2"/>
      <c r="B717" s="2"/>
      <c r="C717" s="9"/>
      <c r="D717" s="2"/>
      <c r="E717" s="2"/>
      <c r="F717" s="2"/>
      <c r="G717" s="8"/>
      <c r="H717" s="1"/>
      <c r="I717" s="1"/>
      <c r="J717" s="1"/>
    </row>
    <row r="718" ht="12.75">
      <c r="A718" s="2"/>
      <c r="B718" s="2"/>
      <c r="C718" s="9"/>
      <c r="D718" s="2"/>
      <c r="E718" s="2"/>
      <c r="F718" s="2"/>
      <c r="G718" s="8"/>
      <c r="H718" s="1"/>
      <c r="I718" s="1"/>
      <c r="J718" s="1"/>
    </row>
    <row r="719" ht="12.75">
      <c r="A719" s="2"/>
      <c r="B719" s="2"/>
      <c r="C719" s="9"/>
      <c r="D719" s="2"/>
      <c r="E719" s="2"/>
      <c r="F719" s="2"/>
      <c r="G719" s="8"/>
      <c r="H719" s="1"/>
      <c r="I719" s="1"/>
      <c r="J719" s="1"/>
    </row>
    <row r="720" ht="12.75">
      <c r="A720" s="2"/>
      <c r="B720" s="2"/>
      <c r="C720" s="9"/>
      <c r="D720" s="2"/>
      <c r="E720" s="2"/>
      <c r="F720" s="2"/>
      <c r="G720" s="8"/>
      <c r="H720" s="1"/>
      <c r="I720" s="1"/>
      <c r="J720" s="1"/>
    </row>
    <row r="721" ht="12.75">
      <c r="A721" s="2"/>
      <c r="B721" s="2"/>
      <c r="C721" s="9"/>
      <c r="D721" s="2"/>
      <c r="E721" s="2"/>
      <c r="F721" s="2"/>
      <c r="G721" s="8"/>
      <c r="H721" s="1"/>
      <c r="I721" s="1"/>
      <c r="J721" s="1"/>
    </row>
    <row r="722" ht="12.75">
      <c r="A722" s="2"/>
      <c r="B722" s="2"/>
      <c r="C722" s="9"/>
      <c r="D722" s="2"/>
      <c r="E722" s="2"/>
      <c r="F722" s="2"/>
      <c r="G722" s="8"/>
      <c r="H722" s="1"/>
      <c r="I722" s="1"/>
      <c r="J722" s="1"/>
    </row>
    <row r="723" ht="12.75">
      <c r="A723" s="2"/>
      <c r="B723" s="2"/>
      <c r="C723" s="9"/>
      <c r="D723" s="2"/>
      <c r="E723" s="2"/>
      <c r="F723" s="2"/>
      <c r="G723" s="8"/>
      <c r="H723" s="1"/>
      <c r="I723" s="1"/>
      <c r="J723" s="1"/>
    </row>
    <row r="724" ht="12.75">
      <c r="A724" s="2"/>
      <c r="B724" s="2"/>
      <c r="C724" s="9"/>
      <c r="D724" s="2"/>
      <c r="E724" s="2"/>
      <c r="F724" s="2"/>
      <c r="G724" s="8"/>
      <c r="H724" s="1"/>
      <c r="I724" s="1"/>
      <c r="J724" s="1"/>
    </row>
    <row r="725" ht="12.75">
      <c r="A725" s="2"/>
      <c r="B725" s="2"/>
      <c r="C725" s="9"/>
      <c r="D725" s="2"/>
      <c r="E725" s="2"/>
      <c r="F725" s="2"/>
      <c r="G725" s="8"/>
      <c r="H725" s="1"/>
      <c r="I725" s="1"/>
      <c r="J725" s="1"/>
    </row>
    <row r="726" ht="12.75">
      <c r="A726" s="2"/>
      <c r="B726" s="2"/>
      <c r="C726" s="9"/>
      <c r="D726" s="2"/>
      <c r="E726" s="2"/>
      <c r="F726" s="2"/>
      <c r="G726" s="8"/>
      <c r="H726" s="1"/>
      <c r="I726" s="1"/>
      <c r="J726" s="1"/>
    </row>
    <row r="727" ht="12.75">
      <c r="A727" s="2"/>
      <c r="B727" s="2"/>
      <c r="C727" s="9"/>
      <c r="D727" s="2"/>
      <c r="E727" s="2"/>
      <c r="F727" s="2"/>
      <c r="G727" s="8"/>
      <c r="H727" s="1"/>
      <c r="I727" s="1"/>
      <c r="J727" s="1"/>
    </row>
    <row r="728" ht="12.75">
      <c r="A728" s="2"/>
      <c r="B728" s="2"/>
      <c r="C728" s="9"/>
      <c r="D728" s="2"/>
      <c r="E728" s="2"/>
      <c r="F728" s="2"/>
      <c r="G728" s="8"/>
      <c r="H728" s="1"/>
    </row>
    <row r="729" ht="12.75">
      <c r="A729" s="2"/>
      <c r="B729" s="2"/>
      <c r="C729" s="9"/>
      <c r="D729" s="2"/>
      <c r="E729" s="2"/>
      <c r="F729" s="2"/>
      <c r="G729" s="8"/>
      <c r="H729" s="1"/>
    </row>
    <row r="730" ht="12.75">
      <c r="A730" s="2"/>
      <c r="B730" s="2"/>
      <c r="C730" s="9"/>
      <c r="D730" s="2"/>
      <c r="E730" s="2"/>
      <c r="F730" s="2"/>
      <c r="G730" s="8"/>
      <c r="H730" s="1"/>
    </row>
    <row r="731" ht="12.75">
      <c r="A731" s="2"/>
      <c r="B731" s="2"/>
      <c r="C731" s="9"/>
      <c r="D731" s="2"/>
      <c r="E731" s="2"/>
      <c r="F731" s="2"/>
      <c r="G731" s="8"/>
      <c r="H731" s="1"/>
    </row>
    <row r="732" ht="12.75">
      <c r="A732" s="2"/>
      <c r="B732" s="2"/>
      <c r="C732" s="9"/>
      <c r="D732" s="2"/>
      <c r="E732" s="2"/>
      <c r="F732" s="2"/>
      <c r="G732" s="8"/>
      <c r="H732" s="1"/>
    </row>
    <row r="733" ht="12.75">
      <c r="A733" s="2"/>
      <c r="B733" s="2"/>
      <c r="C733" s="9"/>
      <c r="D733" s="2"/>
      <c r="E733" s="2"/>
      <c r="F733" s="2"/>
      <c r="G733" s="8"/>
      <c r="H733" s="1"/>
    </row>
    <row r="734" ht="12.75">
      <c r="A734" s="2"/>
      <c r="B734" s="2"/>
      <c r="C734" s="9"/>
      <c r="D734" s="2"/>
      <c r="E734" s="2"/>
      <c r="F734" s="2"/>
      <c r="G734" s="8"/>
      <c r="H734" s="1"/>
    </row>
    <row r="735" ht="12.75">
      <c r="A735" s="2"/>
      <c r="B735" s="2"/>
      <c r="C735" s="9"/>
      <c r="D735" s="2"/>
      <c r="E735" s="2"/>
      <c r="F735" s="2"/>
      <c r="G735" s="8"/>
      <c r="H735" s="1"/>
    </row>
    <row r="736" ht="12.75">
      <c r="A736" s="2"/>
      <c r="B736" s="2"/>
      <c r="C736" s="9"/>
      <c r="D736" s="2"/>
      <c r="E736" s="2"/>
      <c r="F736" s="2"/>
      <c r="G736" s="8"/>
      <c r="H736" s="1"/>
    </row>
    <row r="737" ht="12.75">
      <c r="A737" s="2"/>
      <c r="B737" s="2"/>
      <c r="C737" s="9"/>
      <c r="D737" s="2"/>
      <c r="E737" s="2"/>
      <c r="F737" s="2"/>
      <c r="G737" s="8"/>
      <c r="H737" s="1"/>
    </row>
    <row r="738" ht="12.75">
      <c r="A738" s="2"/>
      <c r="B738" s="2"/>
      <c r="C738" s="9"/>
      <c r="D738" s="2"/>
      <c r="E738" s="2"/>
      <c r="F738" s="2"/>
      <c r="G738" s="8"/>
      <c r="H738" s="1"/>
    </row>
    <row r="739" ht="12.75">
      <c r="A739" s="2"/>
      <c r="B739" s="2"/>
      <c r="C739" s="9"/>
      <c r="D739" s="2"/>
      <c r="E739" s="2"/>
      <c r="F739" s="2"/>
      <c r="G739" s="8"/>
      <c r="H739" s="1"/>
    </row>
    <row r="740" ht="12.75">
      <c r="A740" s="2"/>
      <c r="B740" s="2"/>
      <c r="C740" s="9"/>
      <c r="D740" s="2"/>
      <c r="E740" s="2"/>
      <c r="F740" s="2"/>
      <c r="G740" s="8"/>
      <c r="H740" s="1"/>
    </row>
    <row r="741" ht="12.75">
      <c r="A741" s="2"/>
      <c r="B741" s="2"/>
      <c r="C741" s="9"/>
      <c r="D741" s="2"/>
      <c r="E741" s="2"/>
      <c r="F741" s="2"/>
      <c r="G741" s="8"/>
      <c r="H741" s="1"/>
    </row>
    <row r="742" ht="12.75">
      <c r="A742" s="2"/>
      <c r="B742" s="2"/>
      <c r="C742" s="9"/>
      <c r="D742" s="2"/>
      <c r="E742" s="2"/>
      <c r="F742" s="2"/>
      <c r="G742" s="8"/>
      <c r="H742" s="1"/>
    </row>
    <row r="743" ht="12.75">
      <c r="A743" s="2"/>
      <c r="B743" s="2"/>
      <c r="C743" s="9"/>
      <c r="D743" s="2"/>
      <c r="E743" s="2"/>
      <c r="F743" s="2"/>
      <c r="G743" s="8"/>
      <c r="H743" s="1"/>
    </row>
    <row r="744" ht="12.75">
      <c r="A744" s="2"/>
      <c r="B744" s="2"/>
      <c r="C744" s="9"/>
      <c r="D744" s="2"/>
      <c r="E744" s="2"/>
      <c r="F744" s="2"/>
      <c r="G744" s="8"/>
      <c r="H744" s="1"/>
    </row>
    <row r="745" ht="12.75">
      <c r="A745" s="2"/>
      <c r="B745" s="2"/>
      <c r="C745" s="9"/>
      <c r="D745" s="2"/>
      <c r="E745" s="2"/>
      <c r="F745" s="2"/>
      <c r="G745" s="8"/>
      <c r="H745" s="1"/>
    </row>
    <row r="746" ht="12.75">
      <c r="A746" s="2"/>
      <c r="B746" s="2"/>
      <c r="C746" s="9"/>
      <c r="D746" s="2"/>
      <c r="E746" s="2"/>
      <c r="F746" s="2"/>
      <c r="G746" s="8"/>
      <c r="H746" s="1"/>
    </row>
    <row r="747" ht="12.75">
      <c r="A747" s="2"/>
      <c r="B747" s="2"/>
      <c r="C747" s="9"/>
      <c r="D747" s="2"/>
      <c r="E747" s="2"/>
      <c r="F747" s="2"/>
      <c r="G747" s="8"/>
      <c r="H747" s="1"/>
    </row>
    <row r="748" ht="12.75">
      <c r="A748" s="2"/>
      <c r="B748" s="2"/>
      <c r="C748" s="9"/>
      <c r="D748" s="2"/>
      <c r="E748" s="2"/>
      <c r="F748" s="2"/>
      <c r="G748" s="8"/>
      <c r="H748" s="1"/>
    </row>
    <row r="749" ht="12.75">
      <c r="A749" s="2"/>
      <c r="B749" s="2"/>
      <c r="C749" s="9"/>
      <c r="D749" s="2"/>
      <c r="E749" s="2"/>
      <c r="F749" s="2"/>
      <c r="G749" s="8"/>
      <c r="H749" s="1"/>
    </row>
    <row r="750" ht="12.75">
      <c r="A750" s="2"/>
      <c r="B750" s="2"/>
      <c r="C750" s="9"/>
      <c r="D750" s="2"/>
      <c r="E750" s="2"/>
      <c r="F750" s="2"/>
      <c r="G750" s="8"/>
      <c r="H750" s="1"/>
    </row>
    <row r="751" ht="12.75">
      <c r="A751" s="2"/>
      <c r="B751" s="2"/>
      <c r="C751" s="9"/>
      <c r="D751" s="2"/>
      <c r="E751" s="2"/>
      <c r="F751" s="2"/>
      <c r="G751" s="8"/>
      <c r="H751" s="1"/>
    </row>
    <row r="752" ht="12.75">
      <c r="A752" s="2"/>
      <c r="B752" s="2"/>
      <c r="C752" s="9"/>
      <c r="D752" s="2"/>
      <c r="E752" s="2"/>
      <c r="F752" s="2"/>
      <c r="G752" s="8"/>
      <c r="H752" s="1"/>
    </row>
    <row r="753" ht="12.75">
      <c r="A753" s="2"/>
      <c r="B753" s="2"/>
      <c r="C753" s="9"/>
      <c r="D753" s="2"/>
      <c r="E753" s="2"/>
      <c r="F753" s="2"/>
      <c r="G753" s="8"/>
      <c r="H753" s="1"/>
    </row>
    <row r="754" ht="12.75">
      <c r="A754" s="2"/>
      <c r="B754" s="2"/>
      <c r="C754" s="9"/>
      <c r="D754" s="2"/>
      <c r="E754" s="2"/>
      <c r="F754" s="2"/>
      <c r="G754" s="8"/>
      <c r="H754" s="1"/>
    </row>
    <row r="755" ht="12.75">
      <c r="A755" s="2"/>
      <c r="B755" s="2"/>
      <c r="C755" s="9"/>
      <c r="D755" s="2"/>
      <c r="E755" s="2"/>
      <c r="F755" s="2"/>
      <c r="G755" s="8"/>
      <c r="H755" s="1"/>
    </row>
    <row r="756" ht="12.75">
      <c r="A756" s="2"/>
      <c r="B756" s="2"/>
      <c r="C756" s="9"/>
      <c r="D756" s="2"/>
      <c r="E756" s="2"/>
      <c r="F756" s="2"/>
      <c r="G756" s="8"/>
      <c r="H756" s="1"/>
    </row>
    <row r="757" ht="12.75">
      <c r="A757" s="2"/>
      <c r="B757" s="2"/>
      <c r="C757" s="9"/>
      <c r="D757" s="2"/>
      <c r="E757" s="2"/>
      <c r="F757" s="2"/>
      <c r="G757" s="8"/>
      <c r="H757" s="1"/>
    </row>
    <row r="758" ht="12.75">
      <c r="A758" s="2"/>
      <c r="B758" s="2"/>
      <c r="C758" s="9"/>
      <c r="D758" s="2"/>
      <c r="E758" s="2"/>
      <c r="F758" s="2"/>
      <c r="G758" s="8"/>
      <c r="H758" s="1"/>
    </row>
    <row r="759" ht="12.75">
      <c r="A759" s="2"/>
      <c r="B759" s="2"/>
      <c r="C759" s="9"/>
      <c r="D759" s="2"/>
      <c r="E759" s="2"/>
      <c r="F759" s="2"/>
      <c r="G759" s="8"/>
      <c r="H759" s="1"/>
    </row>
    <row r="760" ht="12.75">
      <c r="A760" s="2"/>
      <c r="B760" s="2"/>
      <c r="C760" s="9"/>
      <c r="D760" s="2"/>
      <c r="E760" s="2"/>
      <c r="F760" s="2"/>
      <c r="G760" s="8"/>
      <c r="H760" s="1"/>
    </row>
    <row r="761" ht="12.75">
      <c r="A761" s="2"/>
      <c r="B761" s="2"/>
      <c r="C761" s="9"/>
      <c r="D761" s="2"/>
      <c r="E761" s="2"/>
      <c r="F761" s="2"/>
      <c r="G761" s="8"/>
      <c r="H761" s="1"/>
    </row>
    <row r="762" ht="12.75">
      <c r="A762" s="2"/>
      <c r="B762" s="2"/>
      <c r="C762" s="9"/>
      <c r="D762" s="2"/>
      <c r="E762" s="2"/>
      <c r="F762" s="2"/>
      <c r="G762" s="8"/>
      <c r="H762" s="1"/>
    </row>
    <row r="763" ht="12.75">
      <c r="A763" s="2"/>
      <c r="B763" s="2"/>
      <c r="C763" s="9"/>
      <c r="D763" s="2"/>
      <c r="E763" s="2"/>
      <c r="F763" s="2"/>
      <c r="G763" s="8"/>
      <c r="H763" s="1"/>
    </row>
    <row r="764" ht="12.75">
      <c r="A764" s="2"/>
      <c r="B764" s="2"/>
      <c r="C764" s="9"/>
      <c r="D764" s="2"/>
      <c r="E764" s="2"/>
      <c r="F764" s="2"/>
      <c r="G764" s="8"/>
      <c r="H764" s="1"/>
    </row>
    <row r="765" ht="12.75">
      <c r="A765" s="2"/>
      <c r="B765" s="2"/>
      <c r="C765" s="9"/>
      <c r="D765" s="2"/>
      <c r="E765" s="2"/>
      <c r="F765" s="2"/>
      <c r="G765" s="8"/>
      <c r="H765" s="1"/>
    </row>
    <row r="766" ht="12.75">
      <c r="A766" s="2"/>
      <c r="B766" s="2"/>
      <c r="C766" s="9"/>
      <c r="D766" s="2"/>
      <c r="E766" s="2"/>
      <c r="F766" s="2"/>
      <c r="G766" s="8"/>
      <c r="H766" s="1"/>
    </row>
    <row r="767" ht="12.75">
      <c r="A767" s="2"/>
      <c r="B767" s="2"/>
      <c r="C767" s="9"/>
      <c r="D767" s="2"/>
      <c r="E767" s="2"/>
      <c r="F767" s="2"/>
      <c r="G767" s="8"/>
      <c r="H767" s="1"/>
    </row>
    <row r="768" ht="12.75">
      <c r="A768" s="2"/>
      <c r="B768" s="2"/>
      <c r="C768" s="9"/>
      <c r="D768" s="2"/>
      <c r="E768" s="2"/>
      <c r="F768" s="2"/>
      <c r="G768" s="8"/>
      <c r="H768" s="1"/>
    </row>
    <row r="769" ht="12.75">
      <c r="A769" s="2"/>
      <c r="B769" s="2"/>
      <c r="C769" s="9"/>
      <c r="D769" s="2"/>
      <c r="E769" s="2"/>
      <c r="F769" s="2"/>
      <c r="G769" s="8"/>
      <c r="H769" s="1"/>
    </row>
    <row r="770" ht="12.75">
      <c r="A770" s="2"/>
      <c r="B770" s="2"/>
      <c r="C770" s="9"/>
      <c r="D770" s="2"/>
      <c r="E770" s="2"/>
      <c r="F770" s="2"/>
      <c r="G770" s="8"/>
      <c r="H770" s="1"/>
    </row>
    <row r="771" ht="12.75">
      <c r="A771" s="2"/>
      <c r="B771" s="2"/>
      <c r="C771" s="9"/>
      <c r="D771" s="2"/>
      <c r="E771" s="2"/>
      <c r="F771" s="2"/>
      <c r="G771" s="8"/>
      <c r="H771" s="1"/>
    </row>
    <row r="772" ht="12.75">
      <c r="A772" s="2"/>
      <c r="B772" s="2"/>
      <c r="C772" s="9"/>
      <c r="D772" s="2"/>
      <c r="E772" s="2"/>
      <c r="F772" s="2"/>
      <c r="G772" s="8"/>
      <c r="H772" s="1"/>
    </row>
    <row r="773" ht="12.75">
      <c r="A773" s="2"/>
      <c r="B773" s="2"/>
      <c r="C773" s="9"/>
      <c r="D773" s="2"/>
      <c r="E773" s="2"/>
      <c r="F773" s="2"/>
      <c r="G773" s="8"/>
      <c r="H773" s="1"/>
    </row>
    <row r="774" ht="12.75">
      <c r="A774" s="2"/>
      <c r="B774" s="2"/>
      <c r="C774" s="9"/>
      <c r="D774" s="2"/>
      <c r="E774" s="2"/>
      <c r="F774" s="2"/>
      <c r="G774" s="8"/>
      <c r="H774" s="1"/>
    </row>
    <row r="775" ht="12.75">
      <c r="A775" s="2"/>
      <c r="B775" s="2"/>
      <c r="C775" s="9"/>
      <c r="D775" s="2"/>
      <c r="E775" s="2"/>
      <c r="F775" s="2"/>
      <c r="G775" s="8"/>
      <c r="H775" s="1"/>
    </row>
    <row r="776" ht="12.75">
      <c r="A776" s="2"/>
      <c r="B776" s="2"/>
      <c r="C776" s="9"/>
      <c r="D776" s="2"/>
      <c r="E776" s="2"/>
      <c r="F776" s="2"/>
      <c r="G776" s="8"/>
      <c r="H776" s="1"/>
    </row>
  </sheetData>
  <autoFilter ref="A1:G776"/>
  <printOptions headings="1" gridLines="0"/>
  <pageMargins left="0.5" right="0.5" top="0.5" bottom="0.5" header="0" footer="0"/>
  <pageSetup paperSize="9" scale="42" fitToWidth="1" fitToHeight="0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5" operator="notEqual" id="{00650034-0070-4470-A69F-0088000B00CC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E496</xm:sqref>
        </x14:conditionalFormatting>
        <x14:conditionalFormatting xmlns:xm="http://schemas.microsoft.com/office/excel/2006/main">
          <x14:cfRule type="cellIs" priority="40" operator="notEqual" id="{009B0041-0029-4CB1-B567-0043009900CE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E415</xm:sqref>
        </x14:conditionalFormatting>
        <x14:conditionalFormatting xmlns:xm="http://schemas.microsoft.com/office/excel/2006/main">
          <x14:cfRule type="cellIs" priority="40" operator="notEqual" id="{008E0000-00C7-4332-9A8B-00950089005B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E449:E455 E417:E662</xm:sqref>
        </x14:conditionalFormatting>
        <x14:conditionalFormatting xmlns:xm="http://schemas.microsoft.com/office/excel/2006/main">
          <x14:cfRule type="expression" priority="1" id="{003F001A-00F1-4B73-803A-000300F4002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A2:G414 A415:B776 D415:D776 G663:G776 A777:G9935</xm:sqref>
        </x14:conditionalFormatting>
        <x14:conditionalFormatting xmlns:xm="http://schemas.microsoft.com/office/excel/2006/main">
          <x14:cfRule type="expression" priority="1" id="{00E100D2-00A4-4012-8EE5-007000A200F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</xm:sqref>
        </x14:conditionalFormatting>
        <x14:conditionalFormatting xmlns:xm="http://schemas.microsoft.com/office/excel/2006/main">
          <x14:cfRule type="expression" priority="1" id="{009A008A-002F-463E-90CB-00EE0015003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G414</xm:sqref>
        </x14:conditionalFormatting>
        <x14:conditionalFormatting xmlns:xm="http://schemas.microsoft.com/office/excel/2006/main">
          <x14:cfRule type="expression" priority="1" id="{000B0079-0095-4EE7-87A5-0095002000B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A461:B461</xm:sqref>
        </x14:conditionalFormatting>
        <x14:conditionalFormatting xmlns:xm="http://schemas.microsoft.com/office/excel/2006/main">
          <x14:cfRule type="expression" priority="1" id="{006B003C-005E-4F6E-BBB7-0044007D008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A489:B489</xm:sqref>
        </x14:conditionalFormatting>
        <x14:conditionalFormatting xmlns:xm="http://schemas.microsoft.com/office/excel/2006/main">
          <x14:cfRule type="expression" priority="1" id="{008F00F4-00AA-4F51-899C-00D800AD000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A495:B495</xm:sqref>
        </x14:conditionalFormatting>
        <x14:conditionalFormatting xmlns:xm="http://schemas.microsoft.com/office/excel/2006/main">
          <x14:cfRule type="expression" priority="1" id="{00CB0098-0008-4D12-90D0-007E00E300C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1" id="{004C001B-0030-4AC2-8AE5-00B6002D002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1" id="{00BE0087-0085-43BD-9A33-0049005F00A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1" id="{00CA0013-00C6-470A-B4F2-00D2005F003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A525:B525</xm:sqref>
        </x14:conditionalFormatting>
        <x14:conditionalFormatting xmlns:xm="http://schemas.microsoft.com/office/excel/2006/main">
          <x14:cfRule type="expression" priority="1" id="{00C20087-0061-4999-A220-00C8009100A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A525:B525</xm:sqref>
        </x14:conditionalFormatting>
        <x14:conditionalFormatting xmlns:xm="http://schemas.microsoft.com/office/excel/2006/main">
          <x14:cfRule type="expression" priority="1" id="{001B009D-00ED-496E-A814-00D2003E008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9E00C8-00BD-496B-8319-003600E6004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0A00F1-0035-4B60-A7F4-0022009A001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A90021-004D-451A-856A-00C600B900C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2C0014-0097-45E0-B338-00FA00F3008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250086-00FE-4A08-AE94-0036004B007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A30002-003D-41DD-9FDA-004C00A8009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A100BA-0024-4816-94AF-000300C800F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C80025-00AF-424B-BAF0-009B00B4001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F10028-0037-4359-97F1-00B1005B00F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A90061-00EC-41B2-9A78-00E9007500E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A0006C-0075-4388-A025-00BB006400B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B1003E-00BE-43B6-A999-00990007002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A555:B555</xm:sqref>
        </x14:conditionalFormatting>
        <x14:conditionalFormatting xmlns:xm="http://schemas.microsoft.com/office/excel/2006/main">
          <x14:cfRule type="expression" priority="1" id="{00060063-00DC-4726-87A5-00B400EF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A555:B555</xm:sqref>
        </x14:conditionalFormatting>
        <x14:conditionalFormatting xmlns:xm="http://schemas.microsoft.com/office/excel/2006/main">
          <x14:cfRule type="expression" priority="1" id="{00ED00AD-0025-4138-87FA-00C4004C005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A555:B555</xm:sqref>
        </x14:conditionalFormatting>
        <x14:conditionalFormatting xmlns:xm="http://schemas.microsoft.com/office/excel/2006/main">
          <x14:cfRule type="expression" priority="1" id="{000800B2-0023-47DE-9598-00B70068008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A555:B555</xm:sqref>
        </x14:conditionalFormatting>
        <x14:conditionalFormatting xmlns:xm="http://schemas.microsoft.com/office/excel/2006/main">
          <x14:cfRule type="expression" priority="1" id="{00220092-00BB-4609-B5A8-007D004B002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A562:B562</xm:sqref>
        </x14:conditionalFormatting>
        <x14:conditionalFormatting xmlns:xm="http://schemas.microsoft.com/office/excel/2006/main">
          <x14:cfRule type="expression" priority="1" id="{007400D7-00F7-4E22-9EC9-0094004600A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A562:B562</xm:sqref>
        </x14:conditionalFormatting>
        <x14:conditionalFormatting xmlns:xm="http://schemas.microsoft.com/office/excel/2006/main">
          <x14:cfRule type="expression" priority="1" id="{00490069-0025-4EC0-872B-0078009B004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A562:B562</xm:sqref>
        </x14:conditionalFormatting>
        <x14:conditionalFormatting xmlns:xm="http://schemas.microsoft.com/office/excel/2006/main">
          <x14:cfRule type="expression" priority="1" id="{006E0074-000D-4644-81FF-005B0020008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A562:B562</xm:sqref>
        </x14:conditionalFormatting>
        <x14:conditionalFormatting xmlns:xm="http://schemas.microsoft.com/office/excel/2006/main">
          <x14:cfRule type="expression" priority="1" id="{00570083-00E1-47AD-AE14-004F00F1005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5100BE-0000-400E-8C92-00280017002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E900A5-0036-4C5B-BA00-00CD0036009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650009-00C9-410D-8846-00550000005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6200BF-0049-453A-A0CF-00C6005900B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8300C0-006A-4AE8-B002-00AC00E8006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1B00E5-0085-46C4-9663-00DF008D00A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BF00F8-00BF-4F04-B657-00B6003A008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6900B5-00E6-4A08-90A9-002700BF001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A570:B570</xm:sqref>
        </x14:conditionalFormatting>
        <x14:conditionalFormatting xmlns:xm="http://schemas.microsoft.com/office/excel/2006/main">
          <x14:cfRule type="expression" priority="1" id="{006B003A-0097-4DCB-BF49-00D7006100C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A580:B580</xm:sqref>
        </x14:conditionalFormatting>
        <x14:conditionalFormatting xmlns:xm="http://schemas.microsoft.com/office/excel/2006/main">
          <x14:cfRule type="expression" priority="1" id="{00240004-004B-4A9E-87EB-00660019002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A580:B580</xm:sqref>
        </x14:conditionalFormatting>
        <x14:conditionalFormatting xmlns:xm="http://schemas.microsoft.com/office/excel/2006/main">
          <x14:cfRule type="expression" priority="1" id="{00920049-00AF-4279-A681-00B700BA008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A580:B580</xm:sqref>
        </x14:conditionalFormatting>
        <x14:conditionalFormatting xmlns:xm="http://schemas.microsoft.com/office/excel/2006/main">
          <x14:cfRule type="expression" priority="1" id="{002500E0-009A-4156-9354-00E50070006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A580:B580</xm:sqref>
        </x14:conditionalFormatting>
        <x14:conditionalFormatting xmlns:xm="http://schemas.microsoft.com/office/excel/2006/main">
          <x14:cfRule type="expression" priority="1" id="{00740031-0015-494F-9AB2-00DB00B700F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A580:B580</xm:sqref>
        </x14:conditionalFormatting>
        <x14:conditionalFormatting xmlns:xm="http://schemas.microsoft.com/office/excel/2006/main">
          <x14:cfRule type="expression" priority="1" id="{006900F1-0061-41E3-81D6-005D0097002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C60026-003C-4358-B254-00F300A8001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A00027-001D-4CA5-8FBA-003D000B00A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470098-0097-4B18-98AE-0066000300D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71007B-0006-4F56-B86E-001500F5002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5600CD-002C-49AA-944F-0005006E00A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FD007D-0080-4D28-83C1-0058000B003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AA00E3-00B9-417B-BA99-002100E4008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AD0075-0037-4BFE-AF26-00BC00F800A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DE00A5-0082-49A7-B847-00B4007B00A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0100B3-0039-447E-8586-00BB00FE008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A589:B589</xm:sqref>
        </x14:conditionalFormatting>
        <x14:conditionalFormatting xmlns:xm="http://schemas.microsoft.com/office/excel/2006/main">
          <x14:cfRule type="expression" priority="1" id="{003C0043-007F-4F8E-92AE-009C00D4001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1" id="{00DC0023-00B6-4B37-8601-004100FF007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1" id="{00E700B7-00D1-445A-B2BB-002C00D8003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1" id="{00C8004E-004F-4CAB-B368-009C007200C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1" id="{00E200EE-00A4-4C6A-A123-006100EB002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1" id="{001700B7-007B-49E6-84D3-0058002F00A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A597:B597</xm:sqref>
        </x14:conditionalFormatting>
        <x14:conditionalFormatting xmlns:xm="http://schemas.microsoft.com/office/excel/2006/main">
          <x14:cfRule type="expression" priority="1" id="{00840094-00A7-44B4-BAEE-00F000E3005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A4008D-0020-4480-9046-00D10031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360057-0045-4592-AEEE-005600EE000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7E0072-00C7-4F2B-A35A-001000AF007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2200E3-00C0-4A09-8765-002C006200A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DF0016-0075-41D4-B700-00E700B400F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26002C-00AC-4EB2-B1F2-0055006D006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AE0005-00F3-4E04-AFE6-0081003C005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E30080-00F0-40F2-8515-000D0031005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400059-006C-41DD-86D1-0055006800A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B600B1-0062-465A-8B45-003600AE00D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7A0051-0043-4625-AEFD-003D0032009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F4004A-0059-4F4F-87D3-00D8005F007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A610:B610</xm:sqref>
        </x14:conditionalFormatting>
        <x14:conditionalFormatting xmlns:xm="http://schemas.microsoft.com/office/excel/2006/main">
          <x14:cfRule type="expression" priority="1" id="{00E400DE-00C7-440B-A4A3-006E009F00C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160086-0021-4177-8B34-006F0015007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7B00F3-000B-4206-9D37-00B900C3005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E600AE-002B-4C25-9B4D-00E100CC006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5800BB-0062-47E3-A5FD-0084001C00C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9F0005-00AD-404B-8CA7-0027002A007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3400F2-000B-4ECA-AE58-001800BF007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CA00E2-009B-4CFF-97EF-00ED00D400D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4000F2-005C-42C9-BADF-00A1006600B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380071-0035-48C7-8DB3-002F001A008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6C00F2-00A2-4A94-B303-00B0008900F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320040-004B-437B-B87D-006800DF007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C400BB-00BF-4C3D-AD9C-00CD00E100B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1300D9-0007-4C1F-A962-009600EA00D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A20090-00C3-482C-A099-00D10089009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A617:B617</xm:sqref>
        </x14:conditionalFormatting>
        <x14:conditionalFormatting xmlns:xm="http://schemas.microsoft.com/office/excel/2006/main">
          <x14:cfRule type="expression" priority="1" id="{00F50050-0059-4A44-9D55-001800F900A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B6003C-002B-4CDD-979B-0070001D003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690048-0031-4FD9-ABB3-005700D2001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800089-001E-4BDD-AE1A-008D001A00B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350050-00EF-4FFA-8FE4-009E00A1001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0100A0-00E9-44EB-989F-00AD00C0000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E300FD-007E-4028-9093-003600F700B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BF00F6-0052-45A8-A684-00C9008A009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900023-006B-4C84-9577-001A009500F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740018-001A-4DB9-A8F2-007A00D0002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65001D-0005-4DCC-A5C1-0008004E001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2D00F8-00D1-4939-A2B6-00DB00E6009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A9007B-003F-4E7D-A45C-001B0012006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20003D-00D8-450F-9BBE-00C000F5000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DB0057-0077-444B-9630-005A0046002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6A00C4-000C-4504-A74A-00140032005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2E0045-00D0-4F1E-B67B-005500DF001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A625:B625</xm:sqref>
        </x14:conditionalFormatting>
        <x14:conditionalFormatting xmlns:xm="http://schemas.microsoft.com/office/excel/2006/main">
          <x14:cfRule type="expression" priority="1" id="{000300F4-0034-4CDD-B361-00F7000500C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A656:B656</xm:sqref>
        </x14:conditionalFormatting>
        <x14:conditionalFormatting xmlns:xm="http://schemas.microsoft.com/office/excel/2006/main">
          <x14:cfRule type="expression" priority="1" id="{002400A1-004D-48C6-A7E7-00F5004F007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A656:B656</xm:sqref>
        </x14:conditionalFormatting>
        <x14:conditionalFormatting xmlns:xm="http://schemas.microsoft.com/office/excel/2006/main">
          <x14:cfRule type="expression" priority="1" id="{00E000EE-007F-48C1-8DC1-00BB00B5007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A656:B656</xm:sqref>
        </x14:conditionalFormatting>
        <x14:conditionalFormatting xmlns:xm="http://schemas.microsoft.com/office/excel/2006/main">
          <x14:cfRule type="expression" priority="1" id="{00D800AB-00C1-4313-9AF8-007C0043005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A656:B656</xm:sqref>
        </x14:conditionalFormatting>
        <x14:conditionalFormatting xmlns:xm="http://schemas.microsoft.com/office/excel/2006/main">
          <x14:cfRule type="expression" priority="1" id="{005100A6-00A0-49D7-8DDB-00AC00A200C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6800DA-00B9-4FE8-A1F6-0017009B00E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740010-00D9-4C15-B9C7-00EB0096006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130007-009D-4E4D-B25B-00F2008C001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430068-005C-4D54-AA8B-00B600B3004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A70048-00D4-4E39-B9BD-00F9008000F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2900F4-00E7-490D-9110-00D70033006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C300D3-0060-4783-8B61-005900E6007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DD00AB-0043-43E5-9161-00DA0089001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E300A3-0005-4379-BD32-00BD00A500C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A666:B666</xm:sqref>
        </x14:conditionalFormatting>
        <x14:conditionalFormatting xmlns:xm="http://schemas.microsoft.com/office/excel/2006/main">
          <x14:cfRule type="expression" priority="1" id="{00D6006F-0056-4562-9849-0062007B003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3C0083-006A-4E28-9738-009600C8003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6400B6-0050-41A1-AEB2-00A4005E00F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B00051-0003-4C78-B4CE-0060007300F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4600B7-0065-450A-990E-00F600B3007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AB0092-008A-45B7-B641-0006004D002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7B00ED-003A-4286-8203-0084003600E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CF00D5-003A-4550-8FB9-00E9004D00A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5D003E-0067-4A30-A37E-00B000CB00E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B70017-0045-42CF-9A6A-00B3004500B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A679:B679</xm:sqref>
        </x14:conditionalFormatting>
        <x14:conditionalFormatting xmlns:xm="http://schemas.microsoft.com/office/excel/2006/main">
          <x14:cfRule type="expression" priority="1" id="{0082007D-002D-4CD5-B1B2-0040009B007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8F0099-007C-47A1-824B-00A70067007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6500D6-00C6-42B0-A759-00870049004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490091-00E8-4CCE-8A4E-00D10089000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7800DA-00C9-40FE-89C9-004B00D1008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450061-00DC-42FD-89DD-00420081003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B9003B-0094-4BAE-9B8F-00BE00E8002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770034-0024-42F4-B33B-0093000C001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79006B-00A9-4D49-A717-00CF008000F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AF006D-00AB-4C8A-BCE2-004A00AE002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DC00FC-00C0-42BF-AAC8-0085002B009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A90037-00FB-4CB4-83FB-00C7008F00C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A686:B686</xm:sqref>
        </x14:conditionalFormatting>
        <x14:conditionalFormatting xmlns:xm="http://schemas.microsoft.com/office/excel/2006/main">
          <x14:cfRule type="expression" priority="1" id="{00D9003D-0008-42AF-A896-009D0006007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C700F0-006E-4433-9DBB-0001008800B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020034-0006-4B36-ADF7-000A0075009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7200F3-00FA-44F6-8BF4-00C300FB009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4F008A-0074-4B98-BAFC-00360090000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9200F7-007F-40F9-9C5C-008F008B00F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9C002D-001E-4007-AE74-00EA000100F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EC0081-00D9-47EB-B56F-00E600F0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280050-0026-4E2C-BC81-009C00B8006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54003C-004E-445F-B160-005700E000B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5D00F3-00AD-4244-9054-007F0026004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1B0074-00EE-4FB2-8352-006D00D9009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A640:B640</xm:sqref>
        </x14:conditionalFormatting>
        <x14:conditionalFormatting xmlns:xm="http://schemas.microsoft.com/office/excel/2006/main">
          <x14:cfRule type="expression" priority="1" id="{00E900FA-006D-4737-8AD8-001C001100A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F00001-00D0-47A0-ACA5-00930052004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CB0098-0039-442D-97EB-0046008000F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9A00DF-00C8-4CF4-94E1-00530005001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B600F9-0067-4F69-A5A4-006D00FC00D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53004A-0063-445D-AAE1-0062008D00B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DC00DC-0027-4ECA-99BB-008E009000E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D100BB-0080-42F8-834F-00A10030002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49009B-00DB-448F-A22F-00E10028007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450018-00ED-4461-9A31-00A300FE006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FA0024-0033-42CE-BAA6-005700A7007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C2002C-00D6-4845-A879-001B00C5006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5100D6-0043-4CE9-93C8-00A7000E00F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E400E8-002E-4066-AD57-00160079004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D6009E-004F-4F72-8620-002B003F00D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8D001C-005E-408F-BD65-003100B9001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4700A6-00F1-4F06-9BD7-001A00C3006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C000B5-00D2-47EA-A867-00EA00BC006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440059-0001-4230-830C-006300E0001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5500D6-00BA-4CE9-A0BC-009E008B00B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4C00CC-0050-4EE2-A33E-00AA00F1007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9900B6-00D2-4288-9B8B-001D00B6000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D60027-0076-451B-B58D-001C001A00B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FE003F-00F6-4680-91D6-001F00C6000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450015-004F-4939-AC1F-008300E900E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A650:B650</xm:sqref>
        </x14:conditionalFormatting>
        <x14:conditionalFormatting xmlns:xm="http://schemas.microsoft.com/office/excel/2006/main">
          <x14:cfRule type="expression" priority="1" id="{00B80026-00F2-4A05-8DAC-003B0033000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B900FD-00C3-4BB8-A297-009B0042000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FA0008-00E2-4213-AAAE-00A3001D008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DF0049-00D8-45DA-BC30-00C3008B00C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8300C9-0092-4F77-9EE9-006C0085000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B10046-00A8-4F28-8F85-00AA006500D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9800D2-00C2-48CC-8AE0-00BA00EA00C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790006-00E6-4B6D-8C2D-009C0095004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D90065-0053-4504-9C09-008A0072006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7C0091-00AC-49B7-9AAD-0066000F00B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5C00FB-0026-4C0E-B618-0054004C009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E800A2-008A-447D-A98C-0083009700B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3800DA-002F-437F-B66D-00CA002C00F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A659:B659</xm:sqref>
        </x14:conditionalFormatting>
        <x14:conditionalFormatting xmlns:xm="http://schemas.microsoft.com/office/excel/2006/main">
          <x14:cfRule type="expression" priority="1" id="{00830073-00AA-4EEC-8A63-00180040003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A415:B415</xm:sqref>
        </x14:conditionalFormatting>
        <x14:conditionalFormatting xmlns:xm="http://schemas.microsoft.com/office/excel/2006/main">
          <x14:cfRule type="expression" priority="1" id="{00A90060-00E1-45EE-86B2-00E600C700F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</xm:sqref>
        </x14:conditionalFormatting>
        <x14:conditionalFormatting xmlns:xm="http://schemas.microsoft.com/office/excel/2006/main">
          <x14:cfRule type="expression" priority="1" id="{006A00DE-0074-456E-A044-00D200E4007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G415</xm:sqref>
        </x14:conditionalFormatting>
        <x14:conditionalFormatting xmlns:xm="http://schemas.microsoft.com/office/excel/2006/main">
          <x14:cfRule type="expression" priority="1" id="{00170058-0045-45D8-841B-006B00A900A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G415</xm:sqref>
        </x14:conditionalFormatting>
        <x14:conditionalFormatting xmlns:xm="http://schemas.microsoft.com/office/excel/2006/main">
          <x14:cfRule type="expression" priority="1" id="{001000F5-0081-491A-B38D-000E0070008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G416</xm:sqref>
        </x14:conditionalFormatting>
        <x14:conditionalFormatting xmlns:xm="http://schemas.microsoft.com/office/excel/2006/main">
          <x14:cfRule type="expression" priority="1" id="{003400E0-0075-4EBC-BA69-001500DB004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G416</xm:sqref>
        </x14:conditionalFormatting>
        <x14:conditionalFormatting xmlns:xm="http://schemas.microsoft.com/office/excel/2006/main">
          <x14:cfRule type="expression" priority="1" id="{00C70032-0009-4B27-908C-002A00B2005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G417</xm:sqref>
        </x14:conditionalFormatting>
        <x14:conditionalFormatting xmlns:xm="http://schemas.microsoft.com/office/excel/2006/main">
          <x14:cfRule type="expression" priority="1" id="{006800A2-003F-44E3-BE9A-00E7009D00B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G417</xm:sqref>
        </x14:conditionalFormatting>
        <x14:conditionalFormatting xmlns:xm="http://schemas.microsoft.com/office/excel/2006/main">
          <x14:cfRule type="expression" priority="1" id="{007900DB-00CF-4231-AAEE-00DA00B000B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G417</xm:sqref>
        </x14:conditionalFormatting>
        <x14:conditionalFormatting xmlns:xm="http://schemas.microsoft.com/office/excel/2006/main">
          <x14:cfRule type="expression" priority="1" id="{00BF009B-0090-4665-B557-00B000F000A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G417</xm:sqref>
        </x14:conditionalFormatting>
        <x14:conditionalFormatting xmlns:xm="http://schemas.microsoft.com/office/excel/2006/main">
          <x14:cfRule type="cellIs" priority="40" operator="notEqual" id="{00800031-00B8-4ACE-ADCE-008600C50042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E549</xm:sqref>
        </x14:conditionalFormatting>
        <x14:conditionalFormatting xmlns:xm="http://schemas.microsoft.com/office/excel/2006/main">
          <x14:cfRule type="expression" priority="1" id="{000800A1-00AD-4E58-9D37-000B0018005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 D549</xm:sqref>
        </x14:conditionalFormatting>
        <x14:conditionalFormatting xmlns:xm="http://schemas.microsoft.com/office/excel/2006/main">
          <x14:cfRule type="expression" priority="1" id="{00F60007-00AD-4B4B-BAA4-00D2007C005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  <x14:conditionalFormatting xmlns:xm="http://schemas.microsoft.com/office/excel/2006/main">
          <x14:cfRule type="expression" priority="1" id="{008A00C2-00F7-4547-82CF-005C00B7009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  <x14:conditionalFormatting xmlns:xm="http://schemas.microsoft.com/office/excel/2006/main">
          <x14:cfRule type="expression" priority="1" id="{0057000C-0024-4C01-AB09-00F3004800B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  <x14:conditionalFormatting xmlns:xm="http://schemas.microsoft.com/office/excel/2006/main">
          <x14:cfRule type="expression" priority="1" id="{0021009D-0031-47C4-9309-00900017003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  <x14:conditionalFormatting xmlns:xm="http://schemas.microsoft.com/office/excel/2006/main">
          <x14:cfRule type="expression" priority="1" id="{00BA00EF-00B6-431D-A0D2-00AF006F00A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  <x14:conditionalFormatting xmlns:xm="http://schemas.microsoft.com/office/excel/2006/main">
          <x14:cfRule type="expression" priority="1" id="{0000003F-007F-4843-97CB-00BD004B006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  <x14:conditionalFormatting xmlns:xm="http://schemas.microsoft.com/office/excel/2006/main">
          <x14:cfRule type="expression" priority="1" id="{00940020-0097-4257-86E0-008B003300C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A549:B549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9</cp:revision>
  <dcterms:created xsi:type="dcterms:W3CDTF">2022-09-26T16:02:08Z</dcterms:created>
  <dcterms:modified xsi:type="dcterms:W3CDTF">2025-01-19T14:04:39Z</dcterms:modified>
  <cp:category/>
  <cp:contentStatus/>
</cp:coreProperties>
</file>